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hidden" name="Data" sheetId="2" r:id="rId6"/>
    <sheet state="hidden" name="CD" sheetId="3" r:id="rId7"/>
    <sheet state="visible" name="December 2025" sheetId="4" r:id="rId8"/>
    <sheet state="visible" name="January 2026" sheetId="5" r:id="rId9"/>
    <sheet state="visible" name="February 2026" sheetId="6" r:id="rId10"/>
    <sheet state="visible" name="March 2026" sheetId="7" r:id="rId11"/>
    <sheet state="visible" name="April 2026" sheetId="8" r:id="rId12"/>
    <sheet state="visible" name="May 2026" sheetId="9" r:id="rId13"/>
    <sheet state="hidden" name="June 2026" sheetId="10" r:id="rId14"/>
    <sheet state="hidden" name="July 2026" sheetId="11" r:id="rId15"/>
    <sheet state="hidden" name="August 2026" sheetId="12" r:id="rId16"/>
    <sheet state="hidden" name="September 2026" sheetId="13" r:id="rId17"/>
    <sheet state="hidden" name="October 2026" sheetId="14" r:id="rId18"/>
    <sheet state="hidden" name="November 2026" sheetId="15" r:id="rId19"/>
    <sheet state="hidden" name="December 2026" sheetId="16" r:id="rId20"/>
  </sheets>
  <definedNames>
    <definedName hidden="1" localSheetId="0" name="_xlnm._FilterDatabase">Dashboard!$B$13:$C$14</definedName>
  </definedNames>
  <calcPr/>
</workbook>
</file>

<file path=xl/sharedStrings.xml><?xml version="1.0" encoding="utf-8"?>
<sst xmlns="http://schemas.openxmlformats.org/spreadsheetml/2006/main" count="996" uniqueCount="188">
  <si>
    <t>ZERODHA  ·  TRAINING &amp; DEVELOPMENT TRACKER</t>
  </si>
  <si>
    <t>Training Activity Dashboard   |   December 2025 – April 2026</t>
  </si>
  <si>
    <t>Freeda Reshma Dsouza  ·  Gaurav Kumar  ·  Girish A  ·  Harish Bhat  ·  Raju Vernekar</t>
  </si>
  <si>
    <t>FILTER BY MONTH</t>
  </si>
  <si>
    <t>April 2026</t>
  </si>
  <si>
    <t>TOTAL ACTIVITIES</t>
  </si>
  <si>
    <t>TOTAL MAN HOURS</t>
  </si>
  <si>
    <t>ONLINE HOURS</t>
  </si>
  <si>
    <t>OFFLINE HOURS</t>
  </si>
  <si>
    <t>sessions recorded</t>
  </si>
  <si>
    <t>combined hours</t>
  </si>
  <si>
    <t>virtual sessions</t>
  </si>
  <si>
    <t>in-person sessions</t>
  </si>
  <si>
    <t>GAURAV KUMAR</t>
  </si>
  <si>
    <t>RAJU VERNEKAR</t>
  </si>
  <si>
    <t>FREEDA RESHMA DSOUZA</t>
  </si>
  <si>
    <t>HARISH BHAT</t>
  </si>
  <si>
    <t>GIRISH A</t>
  </si>
  <si>
    <t>hours trained</t>
  </si>
  <si>
    <t>MONTHLY HOURS SUMMARY</t>
  </si>
  <si>
    <t>Month</t>
  </si>
  <si>
    <t>Gaurav Kumar</t>
  </si>
  <si>
    <t>Raju Vernekar</t>
  </si>
  <si>
    <t>Freeda Reshma D.</t>
  </si>
  <si>
    <t>Harish Bhat</t>
  </si>
  <si>
    <t>Girish A</t>
  </si>
  <si>
    <t>Grand Total</t>
  </si>
  <si>
    <t>December 2025</t>
  </si>
  <si>
    <t>January 2026</t>
  </si>
  <si>
    <t>February 2026</t>
  </si>
  <si>
    <t>March 2026</t>
  </si>
  <si>
    <t>TRAINING ANALYTICS</t>
  </si>
  <si>
    <t>Monthly Hours by Trainer</t>
  </si>
  <si>
    <t>Online vs Offline</t>
  </si>
  <si>
    <t>Hours by Activity Type</t>
  </si>
  <si>
    <t>COMPLETE ACTIVITY LOG  —  Filters with dropdown above</t>
  </si>
  <si>
    <t>Type of Training</t>
  </si>
  <si>
    <t>Training Details</t>
  </si>
  <si>
    <t>Start Date</t>
  </si>
  <si>
    <t>Completed</t>
  </si>
  <si>
    <t>Trainer Name</t>
  </si>
  <si>
    <t>Session</t>
  </si>
  <si>
    <t>Topic Covered</t>
  </si>
  <si>
    <t>Man Hours</t>
  </si>
  <si>
    <t>Date of Completion</t>
  </si>
  <si>
    <t>Session Type</t>
  </si>
  <si>
    <t>Total Man Hours</t>
  </si>
  <si>
    <t>Team Refresher</t>
  </si>
  <si>
    <t>ACOP (Online Team)</t>
  </si>
  <si>
    <t>10-Dec</t>
  </si>
  <si>
    <t>23-Dec</t>
  </si>
  <si>
    <t>Online</t>
  </si>
  <si>
    <t>Kite mobile/web &amp; order types</t>
  </si>
  <si>
    <t>ACOP Team Refresher</t>
  </si>
  <si>
    <t>19-Dec</t>
  </si>
  <si>
    <t>Project Maven</t>
  </si>
  <si>
    <t>MCP (Project Maven)</t>
  </si>
  <si>
    <t>8-Dec</t>
  </si>
  <si>
    <t>On going</t>
  </si>
  <si>
    <t>Offline</t>
  </si>
  <si>
    <t>Project Maven for Support (MCP)</t>
  </si>
  <si>
    <t>Webinar</t>
  </si>
  <si>
    <t>Support Team</t>
  </si>
  <si>
    <t>Gaurav Kumar / Raju Vernekar</t>
  </si>
  <si>
    <t>Delta Violation</t>
  </si>
  <si>
    <t>Support Manager &amp; AVPs</t>
  </si>
  <si>
    <t>11-Dec</t>
  </si>
  <si>
    <t>Refresher</t>
  </si>
  <si>
    <t>Sherin's Team</t>
  </si>
  <si>
    <t>13-Jan</t>
  </si>
  <si>
    <t>Basics of support</t>
  </si>
  <si>
    <t>1-Jan</t>
  </si>
  <si>
    <t>Assessments</t>
  </si>
  <si>
    <t>Communication Assessment Tool</t>
  </si>
  <si>
    <t>22-Jan</t>
  </si>
  <si>
    <t>Communication Assessment</t>
  </si>
  <si>
    <t>12-Jan</t>
  </si>
  <si>
    <t>20-Jan</t>
  </si>
  <si>
    <t>MTF, Hedge, Basket, Corp actions, MF</t>
  </si>
  <si>
    <t>Refresher for Entire Support</t>
  </si>
  <si>
    <t>28-Jan</t>
  </si>
  <si>
    <t>Tijori Integration with Kite &amp; Console</t>
  </si>
  <si>
    <t>Refresher for Evening Support</t>
  </si>
  <si>
    <t>MCX Team</t>
  </si>
  <si>
    <t>29-Jan</t>
  </si>
  <si>
    <t>Tijori and MCX Devolvement</t>
  </si>
  <si>
    <t>Content Team Session</t>
  </si>
  <si>
    <t>Stock tips &amp; Un-solicited SMS</t>
  </si>
  <si>
    <t>Session for Stock tips</t>
  </si>
  <si>
    <t>Support Team OJT</t>
  </si>
  <si>
    <t>OJT for SM (Support)</t>
  </si>
  <si>
    <t>27-Dec</t>
  </si>
  <si>
    <t>31-Jan</t>
  </si>
  <si>
    <t>Support On Job Training</t>
  </si>
  <si>
    <t>Assessment</t>
  </si>
  <si>
    <t>23-Jan</t>
  </si>
  <si>
    <t>1-Feb</t>
  </si>
  <si>
    <t>Customer Support</t>
  </si>
  <si>
    <t>27-Jan</t>
  </si>
  <si>
    <t>Tijori, MCX Devolvement, SLB</t>
  </si>
  <si>
    <t>Refresher for Support</t>
  </si>
  <si>
    <t>11-Feb</t>
  </si>
  <si>
    <t>MCX Devolvement</t>
  </si>
  <si>
    <t>Assessment - Communicate 360</t>
  </si>
  <si>
    <t>1-Mar</t>
  </si>
  <si>
    <t>Freeda Reshma Dsouza</t>
  </si>
  <si>
    <t>Assessment tool - LMS</t>
  </si>
  <si>
    <t>12-Mar</t>
  </si>
  <si>
    <t>Raju Vernekar / Girish A / Harish Bhat</t>
  </si>
  <si>
    <t>Support Training</t>
  </si>
  <si>
    <t>Tool building - Communicate 360</t>
  </si>
  <si>
    <t>Tool building - C360</t>
  </si>
  <si>
    <t>Batch 1 - C360 Training</t>
  </si>
  <si>
    <t>Correction of Assessment - C360</t>
  </si>
  <si>
    <t>Report Generation - C360</t>
  </si>
  <si>
    <t>Varsity Team Session</t>
  </si>
  <si>
    <t>27-Mar</t>
  </si>
  <si>
    <t>New hire training</t>
  </si>
  <si>
    <t>Batch 2 - C360 Training</t>
  </si>
  <si>
    <t>7-Apr</t>
  </si>
  <si>
    <t>10-Apr</t>
  </si>
  <si>
    <t>Batch 3 - C360 Training</t>
  </si>
  <si>
    <t>21-Apr</t>
  </si>
  <si>
    <t>24-Apr</t>
  </si>
  <si>
    <t>Batch 2 - C360 Training (Girish)</t>
  </si>
  <si>
    <t>Batch - C360 Training (Harish)</t>
  </si>
  <si>
    <t>Tool Building - C360 Modifications</t>
  </si>
  <si>
    <t>13-Apr</t>
  </si>
  <si>
    <t>30-Apr</t>
  </si>
  <si>
    <t>Batch 1 - Correction C360</t>
  </si>
  <si>
    <t>11-Apr</t>
  </si>
  <si>
    <t>15-Apr</t>
  </si>
  <si>
    <t>Freeda Reshma Dsouza / Girish A / Harish Bhat</t>
  </si>
  <si>
    <t>Batch 2 - Correction C360</t>
  </si>
  <si>
    <t>27-Apr</t>
  </si>
  <si>
    <t>Girish A / Harish Bhat</t>
  </si>
  <si>
    <t>Batch 1&amp;2 Report Generation - C360</t>
  </si>
  <si>
    <t>Accop Training</t>
  </si>
  <si>
    <t>Session on AML &amp; Stock tips</t>
  </si>
  <si>
    <t>23-Apr</t>
  </si>
  <si>
    <t>AML &amp; Stock tips</t>
  </si>
  <si>
    <t>NRI Team Training</t>
  </si>
  <si>
    <t>Fresh Hires Training</t>
  </si>
  <si>
    <t>29-Apr</t>
  </si>
  <si>
    <t>Training Need Analysis</t>
  </si>
  <si>
    <t>Understanding requirements from CS</t>
  </si>
  <si>
    <t>16-Apr</t>
  </si>
  <si>
    <t>Self Assessment Form</t>
  </si>
  <si>
    <t>Building self assessment for CS</t>
  </si>
  <si>
    <t>17-Apr</t>
  </si>
  <si>
    <t>Self Assessment</t>
  </si>
  <si>
    <t>Varsity Scripts Writing</t>
  </si>
  <si>
    <t>Script preparation</t>
  </si>
  <si>
    <t>-</t>
  </si>
  <si>
    <t>Varsity Scripts</t>
  </si>
  <si>
    <t>Varsity Video Shoot</t>
  </si>
  <si>
    <t>Video recording</t>
  </si>
  <si>
    <t>Varsity Videos</t>
  </si>
  <si>
    <t>Varsity Backend Support</t>
  </si>
  <si>
    <t>Tickets, exam schedule, Rupee Tales</t>
  </si>
  <si>
    <t>Varsity Backend</t>
  </si>
  <si>
    <t>Mock Calls</t>
  </si>
  <si>
    <t>Mock calls for SM</t>
  </si>
  <si>
    <t>Mock calls</t>
  </si>
  <si>
    <t>Ticket Tool Video</t>
  </si>
  <si>
    <t>Video production</t>
  </si>
  <si>
    <t>2-May</t>
  </si>
  <si>
    <t>Ticket Tool</t>
  </si>
  <si>
    <t>Hours</t>
  </si>
  <si>
    <t>Activity</t>
  </si>
  <si>
    <t>DECEMBER 2025  —  TRAINING LOG</t>
  </si>
  <si>
    <t>Zerodha Training &amp; Development  ·  All activities recorded for this month</t>
  </si>
  <si>
    <t>← Use the sheet tabs at the bottom to navigate to other months or Dashboard</t>
  </si>
  <si>
    <t>#</t>
  </si>
  <si>
    <t>TOTAL MAN HOURS THIS MONTH</t>
  </si>
  <si>
    <t>JANUARY 2026  —  TRAINING LOG</t>
  </si>
  <si>
    <t>FEBRUARY 2026  —  TRAINING LOG</t>
  </si>
  <si>
    <t>MARCH 2026  —  TRAINING LOG</t>
  </si>
  <si>
    <t>APRIL 2026  —  TRAINING LOG</t>
  </si>
  <si>
    <t>MAY 2026  —  TRAINING LOG</t>
  </si>
  <si>
    <t>No training activities recorded yet — add entries below</t>
  </si>
  <si>
    <t>JUNE 2026  —  TRAINING LOG</t>
  </si>
  <si>
    <t>JULY 2026  —  TRAINING LOG</t>
  </si>
  <si>
    <t>AUGUST 2026  —  TRAINING LOG</t>
  </si>
  <si>
    <t>SEPTEMBER 2026  —  TRAINING LOG</t>
  </si>
  <si>
    <t>OCTOBER 2026  —  TRAINING LOG</t>
  </si>
  <si>
    <t>NOVEMBER 2026  —  TRAINING LOG</t>
  </si>
  <si>
    <t>DECEMBER 2026  —  TRAINING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</si>
</sst>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yyyy-mm-dd"/>
  </numFmts>
  <fonts count="32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Calibri"/>
    </font>
    <font/>
    <font>
      <i/>
      <sz val="10.0"/>
      <color rgb="FFE8EBF0"/>
      <name val="Calibri"/>
    </font>
    <font>
      <sz val="9.0"/>
      <color rgb="FF546E7A"/>
      <name val="Calibri"/>
    </font>
    <font>
      <b/>
      <sz val="10.0"/>
      <color rgb="FFE8EBF0"/>
      <name val="Calibri"/>
    </font>
    <font>
      <b/>
      <sz val="12.0"/>
      <color rgb="FF1B2033"/>
      <name val="Calibri"/>
    </font>
    <font>
      <i/>
      <sz val="9.0"/>
      <color rgb="FF546E7A"/>
      <name val="Calibri"/>
    </font>
    <font>
      <b/>
      <sz val="8.0"/>
      <color rgb="FFFFFFFF"/>
      <name val="Calibri"/>
    </font>
    <font>
      <b/>
      <sz val="26.0"/>
      <color rgb="FFFFFFFF"/>
      <name val="Calibri"/>
    </font>
    <font>
      <i/>
      <sz val="8.0"/>
      <color rgb="FFFFFFFF"/>
      <name val="Calibri"/>
    </font>
    <font>
      <b/>
      <sz val="11.0"/>
      <color rgb="FF1B2033"/>
      <name val="Calibri"/>
    </font>
    <font>
      <b/>
      <sz val="9.0"/>
      <color rgb="FF546E7A"/>
      <name val="Calibri"/>
    </font>
    <font>
      <b/>
      <sz val="9.0"/>
      <color rgb="FF1F2937"/>
      <name val="Calibri"/>
    </font>
    <font>
      <sz val="9.0"/>
      <color rgb="FF1F2937"/>
      <name val="Calibri"/>
    </font>
    <font>
      <b/>
      <sz val="9.0"/>
      <color rgb="FF7B61FF"/>
      <name val="Calibri"/>
    </font>
    <font>
      <sz val="9.0"/>
      <color rgb="FF37474F"/>
      <name val="Calibri"/>
    </font>
    <font>
      <b/>
      <sz val="9.0"/>
      <color rgb="FFFFFFFF"/>
      <name val="Calibri"/>
    </font>
    <font>
      <b/>
      <sz val="14.0"/>
      <color rgb="FFFFFFFF"/>
      <name val="Calibri"/>
    </font>
    <font>
      <i/>
      <sz val="9.0"/>
      <color rgb="FFAED6F1"/>
      <name val="Calibri"/>
    </font>
    <font>
      <i/>
      <sz val="8.0"/>
      <color rgb="FF78909C"/>
      <name val="Calibri"/>
    </font>
    <font>
      <b/>
      <sz val="9.0"/>
      <color rgb="FFBDBDBD"/>
      <name val="Calibri"/>
    </font>
    <font>
      <b/>
      <sz val="9.0"/>
      <color rgb="FF1E3A5F"/>
      <name val="Calibri"/>
    </font>
    <font>
      <b/>
      <sz val="10.0"/>
      <color rgb="FFFFFFFF"/>
      <name val="Calibri"/>
    </font>
    <font>
      <b/>
      <sz val="14.0"/>
      <color rgb="FFF59E0B"/>
      <name val="Calibri"/>
    </font>
    <font>
      <b/>
      <sz val="9.0"/>
      <color rgb="FF1A4731"/>
      <name val="Calibri"/>
    </font>
    <font>
      <b/>
      <sz val="9.0"/>
      <color rgb="FF4C1D95"/>
      <name val="Calibri"/>
    </font>
    <font>
      <b/>
      <sz val="9.0"/>
      <color rgb="FF7C2D12"/>
      <name val="Calibri"/>
    </font>
    <font>
      <b/>
      <sz val="9.0"/>
      <color rgb="FF0C4A6E"/>
      <name val="Calibri"/>
    </font>
    <font>
      <i/>
      <sz val="9.0"/>
      <color rgb="FF9E9E9E"/>
      <name val="Calibri"/>
    </font>
    <font>
      <color rgb="FF000000"/>
      <name val="Calibri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00BFA5"/>
        <bgColor rgb="FF00BFA5"/>
      </patternFill>
    </fill>
    <fill>
      <patternFill patternType="solid">
        <fgColor rgb="FF232840"/>
        <bgColor rgb="FF232840"/>
      </patternFill>
    </fill>
    <fill>
      <patternFill patternType="solid">
        <fgColor rgb="FF1B2033"/>
        <bgColor rgb="FF1B2033"/>
      </patternFill>
    </fill>
    <fill>
      <patternFill patternType="solid">
        <fgColor rgb="FF00A187"/>
        <bgColor rgb="FF00A187"/>
      </patternFill>
    </fill>
    <fill>
      <patternFill patternType="solid">
        <fgColor rgb="FF258229"/>
        <bgColor rgb="FF258229"/>
      </patternFill>
    </fill>
    <fill>
      <patternFill patternType="solid">
        <fgColor rgb="FF5D43E1"/>
        <bgColor rgb="FF5D43E1"/>
      </patternFill>
    </fill>
    <fill>
      <patternFill patternType="solid">
        <fgColor rgb="FFD78805"/>
        <bgColor rgb="FFD78805"/>
      </patternFill>
    </fill>
    <fill>
      <patternFill patternType="solid">
        <fgColor rgb="FF43A047"/>
        <bgColor rgb="FF43A047"/>
      </patternFill>
    </fill>
    <fill>
      <patternFill patternType="solid">
        <fgColor rgb="FF7B61FF"/>
        <bgColor rgb="FF7B61FF"/>
      </patternFill>
    </fill>
    <fill>
      <patternFill patternType="solid">
        <fgColor rgb="FFF5A623"/>
        <bgColor rgb="FFF5A623"/>
      </patternFill>
    </fill>
    <fill>
      <patternFill patternType="solid">
        <fgColor rgb="FF0047A2"/>
        <bgColor rgb="FF0047A2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  <fill>
      <patternFill patternType="solid">
        <fgColor rgb="FFF59E0B"/>
        <bgColor rgb="FFF59E0B"/>
      </patternFill>
    </fill>
    <fill>
      <patternFill patternType="solid">
        <fgColor rgb="FF1E3A5F"/>
        <bgColor rgb="FF1E3A5F"/>
      </patternFill>
    </fill>
    <fill>
      <patternFill patternType="solid">
        <fgColor rgb="FF1A4731"/>
        <bgColor rgb="FF1A4731"/>
      </patternFill>
    </fill>
    <fill>
      <patternFill patternType="solid">
        <fgColor rgb="FF4C1D95"/>
        <bgColor rgb="FF4C1D95"/>
      </patternFill>
    </fill>
    <fill>
      <patternFill patternType="solid">
        <fgColor rgb="FF7C2D12"/>
        <bgColor rgb="FF7C2D12"/>
      </patternFill>
    </fill>
    <fill>
      <patternFill patternType="solid">
        <fgColor rgb="FF0C4A6E"/>
        <bgColor rgb="FF0C4A6E"/>
      </patternFill>
    </fill>
    <fill>
      <patternFill patternType="solid">
        <fgColor rgb="FF065F46"/>
        <bgColor rgb="FF065F46"/>
      </patternFill>
    </fill>
    <fill>
      <patternFill patternType="solid">
        <fgColor rgb="FF1E1B4B"/>
        <bgColor rgb="FF1E1B4B"/>
      </patternFill>
    </fill>
    <fill>
      <patternFill patternType="solid">
        <fgColor rgb="FF1C1917"/>
        <bgColor rgb="FF1C1917"/>
      </patternFill>
    </fill>
    <fill>
      <patternFill patternType="solid">
        <fgColor rgb="FF374151"/>
        <bgColor rgb="FF374151"/>
      </patternFill>
    </fill>
    <fill>
      <patternFill patternType="solid">
        <fgColor rgb="FF134E4A"/>
        <bgColor rgb="FF134E4A"/>
      </patternFill>
    </fill>
    <fill>
      <patternFill patternType="solid">
        <fgColor rgb="FF451A03"/>
        <bgColor rgb="FF451A03"/>
      </patternFill>
    </fill>
    <fill>
      <patternFill patternType="solid">
        <fgColor rgb="FF4A044E"/>
        <bgColor rgb="FF4A044E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9688"/>
      </left>
      <right style="medium">
        <color rgb="FF009688"/>
      </right>
      <top style="medium">
        <color rgb="FF009688"/>
      </top>
      <bottom style="medium">
        <color rgb="FF009688"/>
      </bottom>
    </border>
    <border>
      <left/>
      <right/>
      <top/>
      <bottom style="medium">
        <color rgb="FFB0BEC5"/>
      </bottom>
    </border>
    <border>
      <left/>
      <right/>
      <top/>
      <bottom style="thin">
        <color rgb="FFDDE3E8"/>
      </bottom>
    </border>
    <border>
      <left/>
      <right/>
      <top/>
      <bottom style="thin">
        <color rgb="FFE0E0E0"/>
      </bottom>
    </border>
    <border>
      <left/>
      <right/>
      <top/>
      <bottom style="medium">
        <color rgb="FFF59E0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horizontal="right" shrinkToFit="0" vertical="center" wrapText="0"/>
    </xf>
    <xf borderId="5" fillId="2" fontId="7" numFmtId="49" xfId="0" applyAlignment="1" applyBorder="1" applyFont="1" applyNumberFormat="1">
      <alignment horizontal="center" readingOrder="0" shrinkToFit="0" vertical="center" wrapText="0"/>
    </xf>
    <xf borderId="2" fillId="3" fontId="8" numFmtId="0" xfId="0" applyAlignment="1" applyBorder="1" applyFont="1">
      <alignment horizontal="left" shrinkToFit="0" vertical="center" wrapText="0"/>
    </xf>
    <xf borderId="1" fillId="4" fontId="1" numFmtId="0" xfId="0" applyAlignment="1" applyBorder="1" applyFill="1" applyFont="1">
      <alignment shrinkToFit="0" vertical="bottom" wrapText="0"/>
    </xf>
    <xf borderId="2" fillId="5" fontId="9" numFmtId="0" xfId="0" applyAlignment="1" applyBorder="1" applyFill="1" applyFont="1">
      <alignment horizontal="center" shrinkToFit="0" vertical="center" wrapText="0"/>
    </xf>
    <xf borderId="2" fillId="6" fontId="9" numFmtId="0" xfId="0" applyAlignment="1" applyBorder="1" applyFill="1" applyFont="1">
      <alignment horizontal="center" shrinkToFit="0" vertical="center" wrapText="0"/>
    </xf>
    <xf borderId="2" fillId="7" fontId="9" numFmtId="0" xfId="0" applyAlignment="1" applyBorder="1" applyFill="1" applyFont="1">
      <alignment horizontal="center" shrinkToFit="0" vertical="center" wrapText="0"/>
    </xf>
    <xf borderId="2" fillId="8" fontId="9" numFmtId="0" xfId="0" applyAlignment="1" applyBorder="1" applyFill="1" applyFont="1">
      <alignment horizontal="center" shrinkToFit="0" vertical="center" wrapText="0"/>
    </xf>
    <xf borderId="2" fillId="2" fontId="10" numFmtId="164" xfId="0" applyAlignment="1" applyBorder="1" applyFont="1" applyNumberFormat="1">
      <alignment horizontal="center" shrinkToFit="0" vertical="center" wrapText="0"/>
    </xf>
    <xf borderId="2" fillId="9" fontId="10" numFmtId="164" xfId="0" applyAlignment="1" applyBorder="1" applyFill="1" applyFont="1" applyNumberFormat="1">
      <alignment horizontal="center" shrinkToFit="0" vertical="center" wrapText="0"/>
    </xf>
    <xf borderId="2" fillId="10" fontId="10" numFmtId="164" xfId="0" applyAlignment="1" applyBorder="1" applyFill="1" applyFont="1" applyNumberFormat="1">
      <alignment horizontal="center" shrinkToFit="0" vertical="center" wrapText="0"/>
    </xf>
    <xf borderId="2" fillId="11" fontId="10" numFmtId="164" xfId="0" applyAlignment="1" applyBorder="1" applyFill="1" applyFont="1" applyNumberFormat="1">
      <alignment horizontal="center" shrinkToFit="0" vertical="center" wrapText="0"/>
    </xf>
    <xf borderId="2" fillId="5" fontId="11" numFmtId="0" xfId="0" applyAlignment="1" applyBorder="1" applyFont="1">
      <alignment horizontal="center" shrinkToFit="0" vertical="center" wrapText="0"/>
    </xf>
    <xf borderId="2" fillId="6" fontId="11" numFmtId="0" xfId="0" applyAlignment="1" applyBorder="1" applyFont="1">
      <alignment horizontal="center" shrinkToFit="0" vertical="center" wrapText="0"/>
    </xf>
    <xf borderId="2" fillId="7" fontId="11" numFmtId="0" xfId="0" applyAlignment="1" applyBorder="1" applyFont="1">
      <alignment horizontal="center" shrinkToFit="0" vertical="center" wrapText="0"/>
    </xf>
    <xf borderId="2" fillId="8" fontId="11" numFmtId="0" xfId="0" applyAlignment="1" applyBorder="1" applyFont="1">
      <alignment horizontal="center" shrinkToFit="0" vertical="center" wrapText="0"/>
    </xf>
    <xf borderId="2" fillId="12" fontId="9" numFmtId="0" xfId="0" applyAlignment="1" applyBorder="1" applyFill="1" applyFont="1">
      <alignment horizontal="center" shrinkToFit="0" vertical="center" wrapText="0"/>
    </xf>
    <xf borderId="2" fillId="13" fontId="10" numFmtId="164" xfId="0" applyAlignment="1" applyBorder="1" applyFill="1" applyFont="1" applyNumberFormat="1">
      <alignment horizontal="center" shrinkToFit="0" vertical="center" wrapText="0"/>
    </xf>
    <xf borderId="2" fillId="12" fontId="11" numFmtId="0" xfId="0" applyAlignment="1" applyBorder="1" applyFont="1">
      <alignment horizontal="center" shrinkToFit="0" vertical="center" wrapText="0"/>
    </xf>
    <xf borderId="2" fillId="14" fontId="12" numFmtId="0" xfId="0" applyAlignment="1" applyBorder="1" applyFill="1" applyFont="1">
      <alignment horizontal="left" shrinkToFit="0" vertical="center" wrapText="0"/>
    </xf>
    <xf borderId="1" fillId="14" fontId="1" numFmtId="0" xfId="0" applyAlignment="1" applyBorder="1" applyFont="1">
      <alignment shrinkToFit="0" vertical="bottom" wrapText="0"/>
    </xf>
    <xf borderId="6" fillId="14" fontId="13" numFmtId="0" xfId="0" applyAlignment="1" applyBorder="1" applyFont="1">
      <alignment horizontal="center" shrinkToFit="0" vertical="center" wrapText="0"/>
    </xf>
    <xf borderId="7" fillId="14" fontId="14" numFmtId="0" xfId="0" applyAlignment="1" applyBorder="1" applyFont="1">
      <alignment horizontal="left" shrinkToFit="0" vertical="center" wrapText="0"/>
    </xf>
    <xf borderId="7" fillId="14" fontId="15" numFmtId="164" xfId="0" applyAlignment="1" applyBorder="1" applyFont="1" applyNumberFormat="1">
      <alignment horizontal="center" shrinkToFit="0" vertical="center" wrapText="0"/>
    </xf>
    <xf borderId="7" fillId="14" fontId="16" numFmtId="164" xfId="0" applyAlignment="1" applyBorder="1" applyFont="1" applyNumberFormat="1">
      <alignment horizontal="center" shrinkToFit="0" vertical="center" wrapText="0"/>
    </xf>
    <xf borderId="1" fillId="15" fontId="1" numFmtId="0" xfId="0" applyAlignment="1" applyBorder="1" applyFill="1" applyFont="1">
      <alignment shrinkToFit="0" vertical="bottom" wrapText="0"/>
    </xf>
    <xf borderId="7" fillId="15" fontId="14" numFmtId="0" xfId="0" applyAlignment="1" applyBorder="1" applyFont="1">
      <alignment horizontal="left" shrinkToFit="0" vertical="center" wrapText="0"/>
    </xf>
    <xf borderId="7" fillId="15" fontId="15" numFmtId="164" xfId="0" applyAlignment="1" applyBorder="1" applyFont="1" applyNumberFormat="1">
      <alignment horizontal="center" shrinkToFit="0" vertical="center" wrapText="0"/>
    </xf>
    <xf borderId="7" fillId="15" fontId="16" numFmtId="164" xfId="0" applyAlignment="1" applyBorder="1" applyFont="1" applyNumberFormat="1">
      <alignment horizontal="center" shrinkToFit="0" vertical="center" wrapText="0"/>
    </xf>
    <xf borderId="1" fillId="9" fontId="1" numFmtId="0" xfId="0" applyAlignment="1" applyBorder="1" applyFont="1">
      <alignment shrinkToFit="0" vertical="bottom" wrapText="0"/>
    </xf>
    <xf borderId="2" fillId="14" fontId="5" numFmtId="0" xfId="0" applyAlignment="1" applyBorder="1" applyFont="1">
      <alignment horizontal="center" shrinkToFit="0" vertical="center" wrapText="0"/>
    </xf>
    <xf borderId="1" fillId="11" fontId="1" numFmtId="0" xfId="0" applyAlignment="1" applyBorder="1" applyFont="1">
      <alignment shrinkToFit="0" vertical="bottom" wrapText="0"/>
    </xf>
    <xf borderId="1" fillId="15" fontId="17" numFmtId="0" xfId="0" applyAlignment="1" applyBorder="1" applyFont="1">
      <alignment horizontal="left" shrinkToFit="0" vertical="center" wrapText="0"/>
    </xf>
    <xf borderId="8" fillId="14" fontId="17" numFmtId="0" xfId="0" applyAlignment="1" applyBorder="1" applyFont="1">
      <alignment horizontal="left" shrinkToFit="0" vertical="center" wrapText="0"/>
    </xf>
    <xf borderId="8" fillId="15" fontId="17" numFmtId="0" xfId="0" applyAlignment="1" applyBorder="1" applyFont="1">
      <alignment horizontal="left" shrinkToFit="0" vertical="center" wrapText="0"/>
    </xf>
    <xf borderId="1" fillId="4" fontId="18" numFmtId="0" xfId="0" applyAlignment="1" applyBorder="1" applyFont="1">
      <alignment horizontal="center" shrinkToFit="0" vertical="center" wrapText="0"/>
    </xf>
    <xf borderId="1" fillId="16" fontId="1" numFmtId="0" xfId="0" applyAlignment="1" applyBorder="1" applyFill="1" applyFont="1">
      <alignment shrinkToFit="0" vertical="bottom" wrapText="0"/>
    </xf>
    <xf borderId="2" fillId="17" fontId="19" numFmtId="0" xfId="0" applyAlignment="1" applyBorder="1" applyFill="1" applyFont="1">
      <alignment horizontal="center" shrinkToFit="0" vertical="center" wrapText="0"/>
    </xf>
    <xf borderId="2" fillId="17" fontId="20" numFmtId="0" xfId="0" applyAlignment="1" applyBorder="1" applyFont="1">
      <alignment horizontal="center" shrinkToFit="0" vertical="center" wrapText="0"/>
    </xf>
    <xf borderId="2" fillId="17" fontId="21" numFmtId="0" xfId="0" applyAlignment="1" applyBorder="1" applyFont="1">
      <alignment horizontal="center" shrinkToFit="0" vertical="center" wrapText="0"/>
    </xf>
    <xf borderId="9" fillId="17" fontId="18" numFmtId="0" xfId="0" applyAlignment="1" applyBorder="1" applyFont="1">
      <alignment horizontal="center" shrinkToFit="0" vertical="center" wrapText="0"/>
    </xf>
    <xf borderId="7" fillId="14" fontId="22" numFmtId="0" xfId="0" applyAlignment="1" applyBorder="1" applyFont="1">
      <alignment horizontal="center" shrinkToFit="0" vertical="center" wrapText="0"/>
    </xf>
    <xf borderId="7" fillId="14" fontId="15" numFmtId="0" xfId="0" applyAlignment="1" applyBorder="1" applyFont="1">
      <alignment horizontal="left" shrinkToFit="0" vertical="center" wrapText="0"/>
    </xf>
    <xf borderId="7" fillId="14" fontId="15" numFmtId="0" xfId="0" applyAlignment="1" applyBorder="1" applyFont="1">
      <alignment horizontal="left" shrinkToFit="0" vertical="center" wrapText="1"/>
    </xf>
    <xf borderId="7" fillId="14" fontId="15" numFmtId="0" xfId="0" applyAlignment="1" applyBorder="1" applyFont="1">
      <alignment horizontal="center" shrinkToFit="0" vertical="center" wrapText="0"/>
    </xf>
    <xf borderId="7" fillId="14" fontId="23" numFmtId="164" xfId="0" applyAlignment="1" applyBorder="1" applyFont="1" applyNumberFormat="1">
      <alignment horizontal="center" shrinkToFit="0" vertical="center" wrapText="0"/>
    </xf>
    <xf borderId="7" fillId="15" fontId="22" numFmtId="0" xfId="0" applyAlignment="1" applyBorder="1" applyFont="1">
      <alignment horizontal="center" shrinkToFit="0" vertical="center" wrapText="0"/>
    </xf>
    <xf borderId="7" fillId="15" fontId="15" numFmtId="0" xfId="0" applyAlignment="1" applyBorder="1" applyFont="1">
      <alignment horizontal="left" shrinkToFit="0" vertical="center" wrapText="0"/>
    </xf>
    <xf borderId="7" fillId="15" fontId="15" numFmtId="0" xfId="0" applyAlignment="1" applyBorder="1" applyFont="1">
      <alignment horizontal="left" shrinkToFit="0" vertical="center" wrapText="1"/>
    </xf>
    <xf borderId="7" fillId="15" fontId="15" numFmtId="0" xfId="0" applyAlignment="1" applyBorder="1" applyFont="1">
      <alignment horizontal="center" shrinkToFit="0" vertical="center" wrapText="0"/>
    </xf>
    <xf borderId="7" fillId="15" fontId="23" numFmtId="164" xfId="0" applyAlignment="1" applyBorder="1" applyFont="1" applyNumberFormat="1">
      <alignment horizontal="center" shrinkToFit="0" vertical="center" wrapText="0"/>
    </xf>
    <xf borderId="2" fillId="17" fontId="24" numFmtId="0" xfId="0" applyAlignment="1" applyBorder="1" applyFont="1">
      <alignment horizontal="right" shrinkToFit="0" vertical="center" wrapText="0"/>
    </xf>
    <xf borderId="1" fillId="17" fontId="25" numFmtId="164" xfId="0" applyAlignment="1" applyBorder="1" applyFont="1" applyNumberFormat="1">
      <alignment horizontal="center" shrinkToFit="0" vertical="center" wrapText="0"/>
    </xf>
    <xf borderId="2" fillId="18" fontId="19" numFmtId="0" xfId="0" applyAlignment="1" applyBorder="1" applyFill="1" applyFont="1">
      <alignment horizontal="center" shrinkToFit="0" vertical="center" wrapText="0"/>
    </xf>
    <xf borderId="2" fillId="18" fontId="20" numFmtId="0" xfId="0" applyAlignment="1" applyBorder="1" applyFont="1">
      <alignment horizontal="center" shrinkToFit="0" vertical="center" wrapText="0"/>
    </xf>
    <xf borderId="2" fillId="18" fontId="21" numFmtId="0" xfId="0" applyAlignment="1" applyBorder="1" applyFont="1">
      <alignment horizontal="center" shrinkToFit="0" vertical="center" wrapText="0"/>
    </xf>
    <xf borderId="9" fillId="18" fontId="18" numFmtId="0" xfId="0" applyAlignment="1" applyBorder="1" applyFont="1">
      <alignment horizontal="center" shrinkToFit="0" vertical="center" wrapText="0"/>
    </xf>
    <xf borderId="7" fillId="14" fontId="26" numFmtId="164" xfId="0" applyAlignment="1" applyBorder="1" applyFont="1" applyNumberFormat="1">
      <alignment horizontal="center" shrinkToFit="0" vertical="center" wrapText="0"/>
    </xf>
    <xf borderId="7" fillId="15" fontId="26" numFmtId="164" xfId="0" applyAlignment="1" applyBorder="1" applyFont="1" applyNumberFormat="1">
      <alignment horizontal="center" shrinkToFit="0" vertical="center" wrapText="0"/>
    </xf>
    <xf borderId="2" fillId="18" fontId="24" numFmtId="0" xfId="0" applyAlignment="1" applyBorder="1" applyFont="1">
      <alignment horizontal="right" shrinkToFit="0" vertical="center" wrapText="0"/>
    </xf>
    <xf borderId="1" fillId="18" fontId="25" numFmtId="164" xfId="0" applyAlignment="1" applyBorder="1" applyFont="1" applyNumberFormat="1">
      <alignment horizontal="center" shrinkToFit="0" vertical="center" wrapText="0"/>
    </xf>
    <xf borderId="2" fillId="19" fontId="19" numFmtId="0" xfId="0" applyAlignment="1" applyBorder="1" applyFill="1" applyFont="1">
      <alignment horizontal="center" shrinkToFit="0" vertical="center" wrapText="0"/>
    </xf>
    <xf borderId="2" fillId="19" fontId="20" numFmtId="0" xfId="0" applyAlignment="1" applyBorder="1" applyFont="1">
      <alignment horizontal="center" shrinkToFit="0" vertical="center" wrapText="0"/>
    </xf>
    <xf borderId="2" fillId="19" fontId="21" numFmtId="0" xfId="0" applyAlignment="1" applyBorder="1" applyFont="1">
      <alignment horizontal="center" shrinkToFit="0" vertical="center" wrapText="0"/>
    </xf>
    <xf borderId="9" fillId="19" fontId="18" numFmtId="0" xfId="0" applyAlignment="1" applyBorder="1" applyFont="1">
      <alignment horizontal="center" shrinkToFit="0" vertical="center" wrapText="0"/>
    </xf>
    <xf borderId="7" fillId="14" fontId="27" numFmtId="164" xfId="0" applyAlignment="1" applyBorder="1" applyFont="1" applyNumberFormat="1">
      <alignment horizontal="center" shrinkToFit="0" vertical="center" wrapText="0"/>
    </xf>
    <xf borderId="7" fillId="15" fontId="27" numFmtId="164" xfId="0" applyAlignment="1" applyBorder="1" applyFont="1" applyNumberFormat="1">
      <alignment horizontal="center" shrinkToFit="0" vertical="center" wrapText="0"/>
    </xf>
    <xf borderId="2" fillId="19" fontId="24" numFmtId="0" xfId="0" applyAlignment="1" applyBorder="1" applyFont="1">
      <alignment horizontal="right" shrinkToFit="0" vertical="center" wrapText="0"/>
    </xf>
    <xf borderId="1" fillId="19" fontId="25" numFmtId="164" xfId="0" applyAlignment="1" applyBorder="1" applyFont="1" applyNumberFormat="1">
      <alignment horizontal="center" shrinkToFit="0" vertical="center" wrapText="0"/>
    </xf>
    <xf borderId="2" fillId="20" fontId="19" numFmtId="0" xfId="0" applyAlignment="1" applyBorder="1" applyFill="1" applyFont="1">
      <alignment horizontal="center" shrinkToFit="0" vertical="center" wrapText="0"/>
    </xf>
    <xf borderId="2" fillId="20" fontId="20" numFmtId="0" xfId="0" applyAlignment="1" applyBorder="1" applyFont="1">
      <alignment horizontal="center" shrinkToFit="0" vertical="center" wrapText="0"/>
    </xf>
    <xf borderId="2" fillId="20" fontId="21" numFmtId="0" xfId="0" applyAlignment="1" applyBorder="1" applyFont="1">
      <alignment horizontal="center" shrinkToFit="0" vertical="center" wrapText="0"/>
    </xf>
    <xf borderId="9" fillId="20" fontId="18" numFmtId="0" xfId="0" applyAlignment="1" applyBorder="1" applyFont="1">
      <alignment horizontal="center" shrinkToFit="0" vertical="center" wrapText="0"/>
    </xf>
    <xf borderId="7" fillId="14" fontId="28" numFmtId="164" xfId="0" applyAlignment="1" applyBorder="1" applyFont="1" applyNumberFormat="1">
      <alignment horizontal="center" shrinkToFit="0" vertical="center" wrapText="0"/>
    </xf>
    <xf borderId="7" fillId="15" fontId="28" numFmtId="164" xfId="0" applyAlignment="1" applyBorder="1" applyFont="1" applyNumberFormat="1">
      <alignment horizontal="center" shrinkToFit="0" vertical="center" wrapText="0"/>
    </xf>
    <xf borderId="2" fillId="20" fontId="24" numFmtId="0" xfId="0" applyAlignment="1" applyBorder="1" applyFont="1">
      <alignment horizontal="right" shrinkToFit="0" vertical="center" wrapText="0"/>
    </xf>
    <xf borderId="1" fillId="20" fontId="25" numFmtId="164" xfId="0" applyAlignment="1" applyBorder="1" applyFont="1" applyNumberFormat="1">
      <alignment horizontal="center" shrinkToFit="0" vertical="center" wrapText="0"/>
    </xf>
    <xf borderId="2" fillId="21" fontId="19" numFmtId="0" xfId="0" applyAlignment="1" applyBorder="1" applyFill="1" applyFont="1">
      <alignment horizontal="center" shrinkToFit="0" vertical="center" wrapText="0"/>
    </xf>
    <xf borderId="2" fillId="21" fontId="20" numFmtId="0" xfId="0" applyAlignment="1" applyBorder="1" applyFont="1">
      <alignment horizontal="center" shrinkToFit="0" vertical="center" wrapText="0"/>
    </xf>
    <xf borderId="2" fillId="21" fontId="21" numFmtId="0" xfId="0" applyAlignment="1" applyBorder="1" applyFont="1">
      <alignment horizontal="center" shrinkToFit="0" vertical="center" wrapText="0"/>
    </xf>
    <xf borderId="9" fillId="21" fontId="18" numFmtId="0" xfId="0" applyAlignment="1" applyBorder="1" applyFont="1">
      <alignment horizontal="center" shrinkToFit="0" vertical="center" wrapText="0"/>
    </xf>
    <xf borderId="7" fillId="14" fontId="29" numFmtId="164" xfId="0" applyAlignment="1" applyBorder="1" applyFont="1" applyNumberFormat="1">
      <alignment horizontal="center" shrinkToFit="0" vertical="center" wrapText="0"/>
    </xf>
    <xf borderId="7" fillId="15" fontId="29" numFmtId="164" xfId="0" applyAlignment="1" applyBorder="1" applyFont="1" applyNumberFormat="1">
      <alignment horizontal="center" shrinkToFit="0" vertical="center" wrapText="0"/>
    </xf>
    <xf borderId="2" fillId="21" fontId="24" numFmtId="0" xfId="0" applyAlignment="1" applyBorder="1" applyFont="1">
      <alignment horizontal="right" shrinkToFit="0" vertical="center" wrapText="0"/>
    </xf>
    <xf borderId="1" fillId="21" fontId="25" numFmtId="164" xfId="0" applyAlignment="1" applyBorder="1" applyFont="1" applyNumberFormat="1">
      <alignment horizontal="center" shrinkToFit="0" vertical="center" wrapText="0"/>
    </xf>
    <xf borderId="10" fillId="16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22" fontId="19" numFmtId="0" xfId="0" applyAlignment="1" applyBorder="1" applyFill="1" applyFont="1">
      <alignment horizontal="center" shrinkToFit="0" vertical="center" wrapText="0"/>
    </xf>
    <xf borderId="12" fillId="0" fontId="3" numFmtId="0" xfId="0" applyBorder="1" applyFont="1"/>
    <xf borderId="13" fillId="0" fontId="3" numFmtId="0" xfId="0" applyBorder="1" applyFont="1"/>
    <xf borderId="11" fillId="22" fontId="20" numFmtId="0" xfId="0" applyAlignment="1" applyBorder="1" applyFont="1">
      <alignment horizontal="center" shrinkToFit="0" vertical="center" wrapText="0"/>
    </xf>
    <xf borderId="11" fillId="22" fontId="21" numFmtId="0" xfId="0" applyAlignment="1" applyBorder="1" applyFont="1">
      <alignment horizontal="center" shrinkToFit="0" vertical="center" wrapText="0"/>
    </xf>
    <xf borderId="10" fillId="22" fontId="18" numFmtId="0" xfId="0" applyAlignment="1" applyBorder="1" applyFont="1">
      <alignment horizontal="center" shrinkToFit="0" vertical="center" wrapText="0"/>
    </xf>
    <xf borderId="11" fillId="15" fontId="30" numFmtId="0" xfId="0" applyAlignment="1" applyBorder="1" applyFont="1">
      <alignment horizontal="center" shrinkToFit="0" vertical="center" wrapText="0"/>
    </xf>
    <xf borderId="10" fillId="15" fontId="22" numFmtId="0" xfId="0" applyAlignment="1" applyBorder="1" applyFont="1">
      <alignment horizontal="center" shrinkToFit="0" vertical="center" wrapText="0"/>
    </xf>
    <xf borderId="10" fillId="15" fontId="15" numFmtId="0" xfId="0" applyAlignment="1" applyBorder="1" applyFont="1">
      <alignment horizontal="left" shrinkToFit="0" vertical="center" wrapText="0"/>
    </xf>
    <xf borderId="10" fillId="15" fontId="15" numFmtId="0" xfId="0" applyAlignment="1" applyBorder="1" applyFont="1">
      <alignment horizontal="left" shrinkToFit="0" vertical="center" wrapText="1"/>
    </xf>
    <xf borderId="0" fillId="0" fontId="31" numFmtId="165" xfId="0" applyAlignment="1" applyFont="1" applyNumberFormat="1">
      <alignment horizontal="left" readingOrder="0" vertical="bottom"/>
    </xf>
    <xf borderId="10" fillId="15" fontId="15" numFmtId="0" xfId="0" applyAlignment="1" applyBorder="1" applyFont="1">
      <alignment horizontal="center" shrinkToFit="0" vertical="center" wrapText="0"/>
    </xf>
    <xf borderId="0" fillId="0" fontId="31" numFmtId="164" xfId="0" applyAlignment="1" applyFont="1" applyNumberFormat="1">
      <alignment horizontal="right" readingOrder="0" vertical="bottom"/>
    </xf>
    <xf borderId="10" fillId="14" fontId="22" numFmtId="0" xfId="0" applyAlignment="1" applyBorder="1" applyFont="1">
      <alignment horizontal="center" shrinkToFit="0" vertical="center" wrapText="0"/>
    </xf>
    <xf borderId="10" fillId="14" fontId="15" numFmtId="0" xfId="0" applyAlignment="1" applyBorder="1" applyFont="1">
      <alignment horizontal="left" shrinkToFit="0" vertical="center" wrapText="0"/>
    </xf>
    <xf borderId="10" fillId="14" fontId="15" numFmtId="0" xfId="0" applyAlignment="1" applyBorder="1" applyFont="1">
      <alignment horizontal="left" shrinkToFit="0" vertical="center" wrapText="1"/>
    </xf>
    <xf borderId="10" fillId="14" fontId="15" numFmtId="0" xfId="0" applyAlignment="1" applyBorder="1" applyFont="1">
      <alignment horizontal="center" shrinkToFit="0" vertical="center" wrapText="0"/>
    </xf>
    <xf borderId="10" fillId="14" fontId="29" numFmtId="164" xfId="0" applyAlignment="1" applyBorder="1" applyFont="1" applyNumberFormat="1">
      <alignment horizontal="center" shrinkToFit="0" vertical="center" wrapText="0"/>
    </xf>
    <xf borderId="11" fillId="21" fontId="24" numFmtId="0" xfId="0" applyAlignment="1" applyBorder="1" applyFont="1">
      <alignment horizontal="right" shrinkToFit="0" vertical="center" wrapText="0"/>
    </xf>
    <xf borderId="10" fillId="21" fontId="25" numFmtId="164" xfId="0" applyAlignment="1" applyBorder="1" applyFont="1" applyNumberFormat="1">
      <alignment horizontal="center" shrinkToFit="0" vertical="center" wrapText="0"/>
    </xf>
    <xf borderId="2" fillId="23" fontId="19" numFmtId="0" xfId="0" applyAlignment="1" applyBorder="1" applyFill="1" applyFont="1">
      <alignment horizontal="center" shrinkToFit="0" vertical="center" wrapText="0"/>
    </xf>
    <xf borderId="2" fillId="23" fontId="20" numFmtId="0" xfId="0" applyAlignment="1" applyBorder="1" applyFont="1">
      <alignment horizontal="center" shrinkToFit="0" vertical="center" wrapText="0"/>
    </xf>
    <xf borderId="2" fillId="23" fontId="21" numFmtId="0" xfId="0" applyAlignment="1" applyBorder="1" applyFont="1">
      <alignment horizontal="center" shrinkToFit="0" vertical="center" wrapText="0"/>
    </xf>
    <xf borderId="9" fillId="23" fontId="18" numFmtId="0" xfId="0" applyAlignment="1" applyBorder="1" applyFont="1">
      <alignment horizontal="center" shrinkToFit="0" vertical="center" wrapText="0"/>
    </xf>
    <xf borderId="2" fillId="15" fontId="30" numFmtId="0" xfId="0" applyAlignment="1" applyBorder="1" applyFont="1">
      <alignment horizontal="center" shrinkToFit="0" vertical="center" wrapText="0"/>
    </xf>
    <xf borderId="7" fillId="15" fontId="15" numFmtId="0" xfId="0" applyAlignment="1" applyBorder="1" applyFont="1">
      <alignment shrinkToFit="0" vertical="bottom" wrapText="0"/>
    </xf>
    <xf borderId="7" fillId="14" fontId="15" numFmtId="0" xfId="0" applyAlignment="1" applyBorder="1" applyFont="1">
      <alignment shrinkToFit="0" vertical="bottom" wrapText="0"/>
    </xf>
    <xf borderId="2" fillId="23" fontId="24" numFmtId="0" xfId="0" applyAlignment="1" applyBorder="1" applyFont="1">
      <alignment horizontal="right" shrinkToFit="0" vertical="center" wrapText="0"/>
    </xf>
    <xf borderId="1" fillId="23" fontId="25" numFmtId="0" xfId="0" applyAlignment="1" applyBorder="1" applyFont="1">
      <alignment horizontal="center" shrinkToFit="0" vertical="center" wrapText="0"/>
    </xf>
    <xf borderId="2" fillId="24" fontId="19" numFmtId="0" xfId="0" applyAlignment="1" applyBorder="1" applyFill="1" applyFont="1">
      <alignment horizontal="center" shrinkToFit="0" vertical="center" wrapText="0"/>
    </xf>
    <xf borderId="2" fillId="24" fontId="20" numFmtId="0" xfId="0" applyAlignment="1" applyBorder="1" applyFont="1">
      <alignment horizontal="center" shrinkToFit="0" vertical="center" wrapText="0"/>
    </xf>
    <xf borderId="2" fillId="24" fontId="21" numFmtId="0" xfId="0" applyAlignment="1" applyBorder="1" applyFont="1">
      <alignment horizontal="center" shrinkToFit="0" vertical="center" wrapText="0"/>
    </xf>
    <xf borderId="9" fillId="24" fontId="18" numFmtId="0" xfId="0" applyAlignment="1" applyBorder="1" applyFont="1">
      <alignment horizontal="center" shrinkToFit="0" vertical="center" wrapText="0"/>
    </xf>
    <xf borderId="2" fillId="24" fontId="24" numFmtId="0" xfId="0" applyAlignment="1" applyBorder="1" applyFont="1">
      <alignment horizontal="right" shrinkToFit="0" vertical="center" wrapText="0"/>
    </xf>
    <xf borderId="1" fillId="24" fontId="25" numFmtId="0" xfId="0" applyAlignment="1" applyBorder="1" applyFont="1">
      <alignment horizontal="center" shrinkToFit="0" vertical="center" wrapText="0"/>
    </xf>
    <xf borderId="2" fillId="25" fontId="19" numFmtId="0" xfId="0" applyAlignment="1" applyBorder="1" applyFill="1" applyFont="1">
      <alignment horizontal="center" shrinkToFit="0" vertical="center" wrapText="0"/>
    </xf>
    <xf borderId="2" fillId="25" fontId="20" numFmtId="0" xfId="0" applyAlignment="1" applyBorder="1" applyFont="1">
      <alignment horizontal="center" shrinkToFit="0" vertical="center" wrapText="0"/>
    </xf>
    <xf borderId="2" fillId="25" fontId="21" numFmtId="0" xfId="0" applyAlignment="1" applyBorder="1" applyFont="1">
      <alignment horizontal="center" shrinkToFit="0" vertical="center" wrapText="0"/>
    </xf>
    <xf borderId="9" fillId="25" fontId="18" numFmtId="0" xfId="0" applyAlignment="1" applyBorder="1" applyFont="1">
      <alignment horizontal="center" shrinkToFit="0" vertical="center" wrapText="0"/>
    </xf>
    <xf borderId="2" fillId="25" fontId="24" numFmtId="0" xfId="0" applyAlignment="1" applyBorder="1" applyFont="1">
      <alignment horizontal="right" shrinkToFit="0" vertical="center" wrapText="0"/>
    </xf>
    <xf borderId="1" fillId="25" fontId="25" numFmtId="0" xfId="0" applyAlignment="1" applyBorder="1" applyFont="1">
      <alignment horizontal="center" shrinkToFit="0" vertical="center" wrapText="0"/>
    </xf>
    <xf borderId="2" fillId="26" fontId="19" numFmtId="0" xfId="0" applyAlignment="1" applyBorder="1" applyFill="1" applyFont="1">
      <alignment horizontal="center" shrinkToFit="0" vertical="center" wrapText="0"/>
    </xf>
    <xf borderId="2" fillId="26" fontId="20" numFmtId="0" xfId="0" applyAlignment="1" applyBorder="1" applyFont="1">
      <alignment horizontal="center" shrinkToFit="0" vertical="center" wrapText="0"/>
    </xf>
    <xf borderId="2" fillId="26" fontId="21" numFmtId="0" xfId="0" applyAlignment="1" applyBorder="1" applyFont="1">
      <alignment horizontal="center" shrinkToFit="0" vertical="center" wrapText="0"/>
    </xf>
    <xf borderId="9" fillId="26" fontId="18" numFmtId="0" xfId="0" applyAlignment="1" applyBorder="1" applyFont="1">
      <alignment horizontal="center" shrinkToFit="0" vertical="center" wrapText="0"/>
    </xf>
    <xf borderId="2" fillId="26" fontId="24" numFmtId="0" xfId="0" applyAlignment="1" applyBorder="1" applyFont="1">
      <alignment horizontal="right" shrinkToFit="0" vertical="center" wrapText="0"/>
    </xf>
    <xf borderId="1" fillId="26" fontId="25" numFmtId="0" xfId="0" applyAlignment="1" applyBorder="1" applyFont="1">
      <alignment horizontal="center" shrinkToFit="0" vertical="center" wrapText="0"/>
    </xf>
    <xf borderId="2" fillId="27" fontId="19" numFmtId="0" xfId="0" applyAlignment="1" applyBorder="1" applyFill="1" applyFont="1">
      <alignment horizontal="center" shrinkToFit="0" vertical="center" wrapText="0"/>
    </xf>
    <xf borderId="2" fillId="27" fontId="20" numFmtId="0" xfId="0" applyAlignment="1" applyBorder="1" applyFont="1">
      <alignment horizontal="center" shrinkToFit="0" vertical="center" wrapText="0"/>
    </xf>
    <xf borderId="2" fillId="27" fontId="21" numFmtId="0" xfId="0" applyAlignment="1" applyBorder="1" applyFont="1">
      <alignment horizontal="center" shrinkToFit="0" vertical="center" wrapText="0"/>
    </xf>
    <xf borderId="9" fillId="27" fontId="18" numFmtId="0" xfId="0" applyAlignment="1" applyBorder="1" applyFont="1">
      <alignment horizontal="center" shrinkToFit="0" vertical="center" wrapText="0"/>
    </xf>
    <xf borderId="2" fillId="27" fontId="24" numFmtId="0" xfId="0" applyAlignment="1" applyBorder="1" applyFont="1">
      <alignment horizontal="right" shrinkToFit="0" vertical="center" wrapText="0"/>
    </xf>
    <xf borderId="1" fillId="27" fontId="25" numFmtId="0" xfId="0" applyAlignment="1" applyBorder="1" applyFont="1">
      <alignment horizontal="center" shrinkToFit="0" vertical="center" wrapText="0"/>
    </xf>
    <xf borderId="2" fillId="28" fontId="19" numFmtId="0" xfId="0" applyAlignment="1" applyBorder="1" applyFill="1" applyFont="1">
      <alignment horizontal="center" shrinkToFit="0" vertical="center" wrapText="0"/>
    </xf>
    <xf borderId="2" fillId="28" fontId="20" numFmtId="0" xfId="0" applyAlignment="1" applyBorder="1" applyFont="1">
      <alignment horizontal="center" shrinkToFit="0" vertical="center" wrapText="0"/>
    </xf>
    <xf borderId="2" fillId="28" fontId="21" numFmtId="0" xfId="0" applyAlignment="1" applyBorder="1" applyFont="1">
      <alignment horizontal="center" shrinkToFit="0" vertical="center" wrapText="0"/>
    </xf>
    <xf borderId="9" fillId="28" fontId="18" numFmtId="0" xfId="0" applyAlignment="1" applyBorder="1" applyFont="1">
      <alignment horizontal="center" shrinkToFit="0" vertical="center" wrapText="0"/>
    </xf>
    <xf borderId="2" fillId="28" fontId="24" numFmtId="0" xfId="0" applyAlignment="1" applyBorder="1" applyFont="1">
      <alignment horizontal="right" shrinkToFit="0" vertical="center" wrapText="0"/>
    </xf>
    <xf borderId="1" fillId="28" fontId="25" numFmtId="0" xfId="0" applyAlignment="1" applyBorder="1" applyFont="1">
      <alignment horizontal="center" shrinkToFit="0" vertical="center" wrapText="0"/>
    </xf>
    <xf borderId="1" fillId="17" fontId="2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Gaurav Kumar</c:v>
          </c:tx>
          <c:spPr>
            <a:solidFill>
              <a:srgbClr val="00BFA5"/>
            </a:solidFill>
            <a:ln cmpd="sng">
              <a:solidFill>
                <a:srgbClr val="000000"/>
              </a:solidFill>
            </a:ln>
          </c:spPr>
          <c:cat>
            <c:strRef>
              <c:f>CD!$A$2:$A$6</c:f>
            </c:strRef>
          </c:cat>
          <c:val>
            <c:numRef>
              <c:f>CD!$B$2:$B$6</c:f>
              <c:numCache/>
            </c:numRef>
          </c:val>
        </c:ser>
        <c:ser>
          <c:idx val="1"/>
          <c:order val="1"/>
          <c:tx>
            <c:v>Raju Vernekar</c:v>
          </c:tx>
          <c:spPr>
            <a:solidFill>
              <a:srgbClr val="43A047"/>
            </a:solidFill>
            <a:ln cmpd="sng">
              <a:solidFill>
                <a:srgbClr val="000000"/>
              </a:solidFill>
            </a:ln>
          </c:spPr>
          <c:cat>
            <c:strRef>
              <c:f>CD!$A$2:$A$6</c:f>
            </c:strRef>
          </c:cat>
          <c:val>
            <c:numRef>
              <c:f>CD!$C$2:$C$6</c:f>
              <c:numCache/>
            </c:numRef>
          </c:val>
        </c:ser>
        <c:ser>
          <c:idx val="2"/>
          <c:order val="2"/>
          <c:tx>
            <c:v>Freeda Reshma Dsouza</c:v>
          </c:tx>
          <c:spPr>
            <a:solidFill>
              <a:srgbClr val="7B61FF"/>
            </a:solidFill>
            <a:ln cmpd="sng">
              <a:solidFill>
                <a:srgbClr val="000000"/>
              </a:solidFill>
            </a:ln>
          </c:spPr>
          <c:cat>
            <c:strRef>
              <c:f>CD!$A$2:$A$6</c:f>
            </c:strRef>
          </c:cat>
          <c:val>
            <c:numRef>
              <c:f>CD!$D$2:$D$6</c:f>
              <c:numCache/>
            </c:numRef>
          </c:val>
        </c:ser>
        <c:ser>
          <c:idx val="3"/>
          <c:order val="3"/>
          <c:tx>
            <c:v>Harish Bhat</c:v>
          </c:tx>
          <c:spPr>
            <a:solidFill>
              <a:srgbClr val="F5A623"/>
            </a:solidFill>
            <a:ln cmpd="sng">
              <a:solidFill>
                <a:srgbClr val="000000"/>
              </a:solidFill>
            </a:ln>
          </c:spPr>
          <c:cat>
            <c:strRef>
              <c:f>CD!$A$2:$A$6</c:f>
            </c:strRef>
          </c:cat>
          <c:val>
            <c:numRef>
              <c:f>CD!$E$2:$E$6</c:f>
              <c:numCache/>
            </c:numRef>
          </c:val>
        </c:ser>
        <c:ser>
          <c:idx val="4"/>
          <c:order val="4"/>
          <c:tx>
            <c:v>Girish A</c:v>
          </c:tx>
          <c:spPr>
            <a:solidFill>
              <a:srgbClr val="1565C0"/>
            </a:solidFill>
            <a:ln cmpd="sng">
              <a:solidFill>
                <a:srgbClr val="000000"/>
              </a:solidFill>
            </a:ln>
          </c:spPr>
          <c:cat>
            <c:strRef>
              <c:f>CD!$A$2:$A$6</c:f>
            </c:strRef>
          </c:cat>
          <c:val>
            <c:numRef>
              <c:f>CD!$F$2:$F$6</c:f>
              <c:numCache/>
            </c:numRef>
          </c:val>
        </c:ser>
        <c:axId val="1581631760"/>
        <c:axId val="1348881765"/>
      </c:barChart>
      <c:catAx>
        <c:axId val="158163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8881765"/>
      </c:catAx>
      <c:valAx>
        <c:axId val="134888176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163176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CD!$B$9</c:f>
            </c:strRef>
          </c:tx>
          <c:dPt>
            <c:idx val="0"/>
            <c:spPr>
              <a:solidFill>
                <a:srgbClr val="7B61FF"/>
              </a:solidFill>
            </c:spPr>
          </c:dPt>
          <c:dPt>
            <c:idx val="1"/>
            <c:spPr>
              <a:solidFill>
                <a:srgbClr val="F5A623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CD!$A$10:$A$11</c:f>
            </c:strRef>
          </c:cat>
          <c:val>
            <c:numRef>
              <c:f>CD!$B$10:$B$11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Hours</c:v>
          </c:tx>
          <c:spPr>
            <a:solidFill>
              <a:srgbClr val="00BFA5"/>
            </a:solidFill>
            <a:ln cmpd="sng">
              <a:solidFill>
                <a:srgbClr val="000000"/>
              </a:solidFill>
            </a:ln>
          </c:spPr>
          <c:cat>
            <c:strRef>
              <c:f>CD!$A$15:$A$39</c:f>
            </c:strRef>
          </c:cat>
          <c:val>
            <c:numRef>
              <c:f>CD!$B$15:$B$39</c:f>
              <c:numCache/>
            </c:numRef>
          </c:val>
        </c:ser>
        <c:axId val="1438731059"/>
        <c:axId val="1970736550"/>
      </c:barChart>
      <c:catAx>
        <c:axId val="14387310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0736550"/>
      </c:catAx>
      <c:valAx>
        <c:axId val="1970736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8731059"/>
        <c:crosses val="max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26</xdr:row>
      <xdr:rowOff>0</xdr:rowOff>
    </xdr:from>
    <xdr:ext cx="6172200" cy="4305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26</xdr:row>
      <xdr:rowOff>0</xdr:rowOff>
    </xdr:from>
    <xdr:ext cx="4248150" cy="4305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0</xdr:colOff>
      <xdr:row>26</xdr:row>
      <xdr:rowOff>0</xdr:rowOff>
    </xdr:from>
    <xdr:ext cx="7115175" cy="43053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FA5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.57"/>
    <col customWidth="1" min="2" max="2" width="14.0"/>
    <col customWidth="1" min="3" max="3" width="18.0"/>
    <col customWidth="1" min="4" max="4" width="24.0"/>
    <col customWidth="1" min="5" max="5" width="28.0"/>
    <col customWidth="1" min="6" max="9" width="13.43"/>
    <col customWidth="1" min="10" max="10" width="24.0"/>
    <col customWidth="1" min="11" max="13" width="13.43"/>
    <col customWidth="1" min="14" max="14" width="26.0"/>
    <col customWidth="1" min="15" max="17" width="13.43"/>
    <col customWidth="1" min="18" max="18" width="1.57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 ht="51.7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2"/>
      <c r="T2" s="2"/>
      <c r="U2" s="2"/>
      <c r="V2" s="2"/>
      <c r="W2" s="2"/>
      <c r="X2" s="2"/>
      <c r="Y2" s="2"/>
      <c r="Z2" s="2"/>
    </row>
    <row r="3" ht="19.5" customHeight="1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2"/>
      <c r="T3" s="2"/>
      <c r="U3" s="2"/>
      <c r="V3" s="2"/>
      <c r="W3" s="2"/>
      <c r="X3" s="2"/>
      <c r="Y3" s="2"/>
      <c r="Z3" s="2"/>
    </row>
    <row r="4" ht="13.5" customHeight="1">
      <c r="A4" s="7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2"/>
      <c r="T4" s="2"/>
      <c r="U4" s="2"/>
      <c r="V4" s="2"/>
      <c r="W4" s="2"/>
      <c r="X4" s="2"/>
      <c r="Y4" s="2"/>
      <c r="Z4" s="2"/>
    </row>
    <row r="5" ht="3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/>
      <c r="U5" s="2"/>
      <c r="V5" s="2"/>
      <c r="W5" s="2"/>
      <c r="X5" s="2"/>
      <c r="Y5" s="2"/>
      <c r="Z5" s="2"/>
    </row>
    <row r="6" ht="36.0" customHeight="1">
      <c r="A6" s="8"/>
      <c r="B6" s="9" t="s">
        <v>3</v>
      </c>
      <c r="C6" s="5"/>
      <c r="D6" s="10" t="s">
        <v>4</v>
      </c>
      <c r="E6" s="1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8"/>
      <c r="S6" s="2"/>
      <c r="T6" s="2"/>
      <c r="U6" s="2"/>
      <c r="V6" s="2"/>
      <c r="W6" s="2"/>
      <c r="X6" s="2"/>
      <c r="Y6" s="2"/>
      <c r="Z6" s="2"/>
    </row>
    <row r="7" ht="7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2"/>
      <c r="T7" s="2"/>
      <c r="U7" s="2"/>
      <c r="V7" s="2"/>
      <c r="W7" s="2"/>
      <c r="X7" s="2"/>
      <c r="Y7" s="2"/>
      <c r="Z7" s="2"/>
    </row>
    <row r="8" ht="13.5" customHeight="1">
      <c r="A8" s="12"/>
      <c r="B8" s="13" t="s">
        <v>5</v>
      </c>
      <c r="C8" s="5"/>
      <c r="D8" s="14" t="s">
        <v>6</v>
      </c>
      <c r="E8" s="5"/>
      <c r="F8" s="15" t="s">
        <v>7</v>
      </c>
      <c r="G8" s="5"/>
      <c r="H8" s="16" t="s">
        <v>8</v>
      </c>
      <c r="I8" s="5"/>
      <c r="J8" s="12"/>
      <c r="K8" s="12"/>
      <c r="L8" s="12"/>
      <c r="M8" s="12"/>
      <c r="N8" s="12"/>
      <c r="O8" s="12"/>
      <c r="P8" s="12"/>
      <c r="Q8" s="12"/>
      <c r="R8" s="12"/>
      <c r="S8" s="2"/>
      <c r="T8" s="2"/>
      <c r="U8" s="2"/>
      <c r="V8" s="2"/>
      <c r="W8" s="2"/>
      <c r="X8" s="2"/>
      <c r="Y8" s="2"/>
      <c r="Z8" s="2"/>
    </row>
    <row r="9" ht="45.75" customHeight="1">
      <c r="A9" s="12"/>
      <c r="B9" s="17">
        <f>IF($D$6="All Months",COUNTA(Data!$A$2:$A$200),COUNTIF(Data!$A$2:$A$200,$D$6))</f>
        <v>19</v>
      </c>
      <c r="C9" s="5"/>
      <c r="D9" s="18">
        <f>IF($D$6="All Months",SUM(Data!$I$2:$I$200),SUMIF(Data!$A$2:$A$200,$D$6,Data!$I$2:$I$200))</f>
        <v>157.75</v>
      </c>
      <c r="E9" s="5"/>
      <c r="F9" s="19">
        <f>IF($D$6="All Months",SUMIF(Data!$G$2:$G$200,"Online",Data!$I$2:$I$200),SUMPRODUCT((Data!$A$2:$A$200=$D$6)*(Data!$G$2:$G$200="Online")*Data!$I$2:$I$200))</f>
        <v>8.75</v>
      </c>
      <c r="G9" s="5"/>
      <c r="H9" s="20">
        <f>IF($D$6="All Months",SUMIF(Data!$G$2:$G$200,"Offline",Data!$I$2:$I$200),SUMPRODUCT((Data!$A$2:$A$200=$D$6)*(Data!$G$2:$G$200="Offline")*Data!$I$2:$I$200))</f>
        <v>149</v>
      </c>
      <c r="I9" s="5"/>
      <c r="J9" s="12"/>
      <c r="K9" s="12"/>
      <c r="L9" s="12"/>
      <c r="M9" s="12"/>
      <c r="N9" s="12"/>
      <c r="O9" s="12"/>
      <c r="P9" s="12"/>
      <c r="Q9" s="12"/>
      <c r="R9" s="12"/>
      <c r="S9" s="2"/>
      <c r="T9" s="2"/>
      <c r="U9" s="2"/>
      <c r="V9" s="2"/>
      <c r="W9" s="2"/>
      <c r="X9" s="2"/>
      <c r="Y9" s="2"/>
      <c r="Z9" s="2"/>
    </row>
    <row r="10" ht="15.75" customHeight="1">
      <c r="A10" s="12"/>
      <c r="B10" s="21" t="s">
        <v>9</v>
      </c>
      <c r="C10" s="5"/>
      <c r="D10" s="22" t="s">
        <v>10</v>
      </c>
      <c r="E10" s="5"/>
      <c r="F10" s="23" t="s">
        <v>11</v>
      </c>
      <c r="G10" s="5"/>
      <c r="H10" s="24" t="s">
        <v>12</v>
      </c>
      <c r="I10" s="5"/>
      <c r="J10" s="12"/>
      <c r="K10" s="12"/>
      <c r="L10" s="12"/>
      <c r="M10" s="12"/>
      <c r="N10" s="12"/>
      <c r="O10" s="12"/>
      <c r="P10" s="12"/>
      <c r="Q10" s="12"/>
      <c r="R10" s="12"/>
      <c r="S10" s="2"/>
      <c r="T10" s="2"/>
      <c r="U10" s="2"/>
      <c r="V10" s="2"/>
      <c r="W10" s="2"/>
      <c r="X10" s="2"/>
      <c r="Y10" s="2"/>
      <c r="Z10" s="2"/>
    </row>
    <row r="11" ht="7.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2"/>
      <c r="B12" s="25" t="s">
        <v>13</v>
      </c>
      <c r="C12" s="5"/>
      <c r="D12" s="25" t="s">
        <v>14</v>
      </c>
      <c r="E12" s="5"/>
      <c r="F12" s="25" t="s">
        <v>15</v>
      </c>
      <c r="G12" s="5"/>
      <c r="H12" s="25" t="s">
        <v>16</v>
      </c>
      <c r="I12" s="5"/>
      <c r="J12" s="25" t="s">
        <v>17</v>
      </c>
      <c r="K12" s="5"/>
      <c r="L12" s="12"/>
      <c r="M12" s="12"/>
      <c r="N12" s="12"/>
      <c r="O12" s="12"/>
      <c r="P12" s="12"/>
      <c r="Q12" s="12"/>
      <c r="R12" s="12"/>
      <c r="S12" s="2"/>
      <c r="T12" s="2"/>
      <c r="U12" s="2"/>
      <c r="V12" s="2"/>
      <c r="W12" s="2"/>
      <c r="X12" s="2"/>
      <c r="Y12" s="2"/>
      <c r="Z12" s="2"/>
    </row>
    <row r="13" ht="45.75" customHeight="1">
      <c r="A13" s="12"/>
      <c r="B13" s="26">
        <f>IF($D$6="All Months",SUMPRODUCT(ISNUMBER(SEARCH("Gaurav",Data!$F$2:$F$200))*Data!$I$2:$I$200),SUMPRODUCT((Data!$A$2:$A$200=$D$6)*ISNUMBER(SEARCH("Gaurav",Data!$F$2:$F$200))*Data!$I$2:$I$200))</f>
        <v>0</v>
      </c>
      <c r="C13" s="5"/>
      <c r="D13" s="26">
        <f>IF($D$6="All Months",SUMPRODUCT(ISNUMBER(SEARCH("Raju",Data!$F$2:$F$200))*Data!$I$2:$I$200),SUMPRODUCT((Data!$A$2:$A$200=$D$6)*ISNUMBER(SEARCH("Raju",Data!$F$2:$F$200))*Data!$I$2:$I$200))</f>
        <v>15</v>
      </c>
      <c r="E13" s="5"/>
      <c r="F13" s="26">
        <f>IF($D$6="All Months",SUMPRODUCT(ISNUMBER(SEARCH("Freeda",Data!$F$2:$F$200))*Data!$I$2:$I$200),SUMPRODUCT((Data!$A$2:$A$200=$D$6)*ISNUMBER(SEARCH("Freeda",Data!$F$2:$F$200))*Data!$I$2:$I$200))</f>
        <v>71.5</v>
      </c>
      <c r="G13" s="5"/>
      <c r="H13" s="26">
        <f>IF($D$6="All Months",SUMPRODUCT(ISNUMBER(SEARCH("Harish",Data!$F$2:$F$200))*Data!$I$2:$I$200),SUMPRODUCT((Data!$A$2:$A$200=$D$6)*ISNUMBER(SEARCH("Harish",Data!$F$2:$F$200))*Data!$I$2:$I$200))</f>
        <v>102.75</v>
      </c>
      <c r="I13" s="5"/>
      <c r="J13" s="26">
        <f>IF($D$6="All Months",SUMPRODUCT(ISNUMBER(SEARCH("Girish",Data!$F$2:$F$200))*Data!$I$2:$I$200),SUMPRODUCT((Data!$A$2:$A$200=$D$6)*ISNUMBER(SEARCH("Girish",Data!$F$2:$F$200))*Data!$I$2:$I$200))</f>
        <v>73.5</v>
      </c>
      <c r="K13" s="5"/>
      <c r="L13" s="12"/>
      <c r="M13" s="12"/>
      <c r="N13" s="12"/>
      <c r="O13" s="12"/>
      <c r="P13" s="12"/>
      <c r="Q13" s="12"/>
      <c r="R13" s="1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2"/>
      <c r="B14" s="27" t="s">
        <v>18</v>
      </c>
      <c r="C14" s="5"/>
      <c r="D14" s="27" t="s">
        <v>18</v>
      </c>
      <c r="E14" s="5"/>
      <c r="F14" s="27" t="s">
        <v>18</v>
      </c>
      <c r="G14" s="5"/>
      <c r="H14" s="27" t="s">
        <v>18</v>
      </c>
      <c r="I14" s="5"/>
      <c r="J14" s="27" t="s">
        <v>18</v>
      </c>
      <c r="K14" s="5"/>
      <c r="L14" s="12"/>
      <c r="M14" s="12"/>
      <c r="N14" s="12"/>
      <c r="O14" s="12"/>
      <c r="P14" s="12"/>
      <c r="Q14" s="12"/>
      <c r="R14" s="12"/>
      <c r="S14" s="2"/>
      <c r="T14" s="2"/>
      <c r="U14" s="2"/>
      <c r="V14" s="2"/>
      <c r="W14" s="2"/>
      <c r="X14" s="2"/>
      <c r="Y14" s="2"/>
      <c r="Z14" s="2"/>
    </row>
    <row r="15" ht="7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"/>
      <c r="T15" s="2"/>
      <c r="U15" s="2"/>
      <c r="V15" s="2"/>
      <c r="W15" s="2"/>
      <c r="X15" s="2"/>
      <c r="Y15" s="2"/>
      <c r="Z15" s="2"/>
    </row>
    <row r="16" ht="7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"/>
      <c r="T16" s="2"/>
      <c r="U16" s="2"/>
      <c r="V16" s="2"/>
      <c r="W16" s="2"/>
      <c r="X16" s="2"/>
      <c r="Y16" s="2"/>
      <c r="Z16" s="2"/>
    </row>
    <row r="17" ht="25.5" customHeight="1">
      <c r="A17" s="1"/>
      <c r="B17" s="28" t="s">
        <v>19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  <c r="R17" s="29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29"/>
      <c r="B18" s="30" t="s">
        <v>20</v>
      </c>
      <c r="C18" s="29"/>
      <c r="D18" s="30" t="s">
        <v>21</v>
      </c>
      <c r="E18" s="29"/>
      <c r="F18" s="30" t="s">
        <v>22</v>
      </c>
      <c r="G18" s="29"/>
      <c r="H18" s="30" t="s">
        <v>23</v>
      </c>
      <c r="I18" s="29"/>
      <c r="J18" s="30" t="s">
        <v>24</v>
      </c>
      <c r="K18" s="29"/>
      <c r="L18" s="30" t="s">
        <v>25</v>
      </c>
      <c r="M18" s="29"/>
      <c r="N18" s="30" t="s">
        <v>26</v>
      </c>
      <c r="O18" s="29"/>
      <c r="P18" s="29"/>
      <c r="Q18" s="29"/>
      <c r="R18" s="29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9"/>
      <c r="B19" s="31" t="s">
        <v>27</v>
      </c>
      <c r="C19" s="29"/>
      <c r="D19" s="32">
        <v>55.0</v>
      </c>
      <c r="E19" s="29"/>
      <c r="F19" s="32">
        <v>61.0</v>
      </c>
      <c r="G19" s="29"/>
      <c r="H19" s="32">
        <v>0.0</v>
      </c>
      <c r="I19" s="29"/>
      <c r="J19" s="32">
        <v>0.0</v>
      </c>
      <c r="K19" s="29"/>
      <c r="L19" s="32">
        <v>0.0</v>
      </c>
      <c r="M19" s="29"/>
      <c r="N19" s="33">
        <v>116.0</v>
      </c>
      <c r="O19" s="29"/>
      <c r="P19" s="29"/>
      <c r="Q19" s="29"/>
      <c r="R19" s="29"/>
      <c r="S19" s="2"/>
      <c r="T19" s="2"/>
      <c r="U19" s="2"/>
      <c r="V19" s="2"/>
      <c r="W19" s="2"/>
      <c r="X19" s="2"/>
      <c r="Y19" s="2"/>
      <c r="Z19" s="2"/>
    </row>
    <row r="20" ht="19.5" customHeight="1">
      <c r="A20" s="34"/>
      <c r="B20" s="35" t="s">
        <v>28</v>
      </c>
      <c r="C20" s="34"/>
      <c r="D20" s="36">
        <v>284.0</v>
      </c>
      <c r="E20" s="34"/>
      <c r="F20" s="36">
        <v>211.0</v>
      </c>
      <c r="G20" s="34"/>
      <c r="H20" s="36">
        <v>0.0</v>
      </c>
      <c r="I20" s="34"/>
      <c r="J20" s="36">
        <v>0.0</v>
      </c>
      <c r="K20" s="34"/>
      <c r="L20" s="36">
        <v>0.0</v>
      </c>
      <c r="M20" s="34"/>
      <c r="N20" s="37">
        <v>495.0</v>
      </c>
      <c r="O20" s="34"/>
      <c r="P20" s="34"/>
      <c r="Q20" s="34"/>
      <c r="R20" s="34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9"/>
      <c r="B21" s="31" t="s">
        <v>29</v>
      </c>
      <c r="C21" s="29"/>
      <c r="D21" s="32">
        <v>138.0</v>
      </c>
      <c r="E21" s="29"/>
      <c r="F21" s="32">
        <v>112.0</v>
      </c>
      <c r="G21" s="29"/>
      <c r="H21" s="32">
        <v>0.0</v>
      </c>
      <c r="I21" s="29"/>
      <c r="J21" s="32">
        <v>0.0</v>
      </c>
      <c r="K21" s="29"/>
      <c r="L21" s="32">
        <v>0.0</v>
      </c>
      <c r="M21" s="29"/>
      <c r="N21" s="33">
        <v>250.0</v>
      </c>
      <c r="O21" s="29"/>
      <c r="P21" s="29"/>
      <c r="Q21" s="29"/>
      <c r="R21" s="29"/>
      <c r="S21" s="2"/>
      <c r="T21" s="2"/>
      <c r="U21" s="2"/>
      <c r="V21" s="2"/>
      <c r="W21" s="2"/>
      <c r="X21" s="2"/>
      <c r="Y21" s="2"/>
      <c r="Z21" s="2"/>
    </row>
    <row r="22" ht="19.5" customHeight="1">
      <c r="A22" s="34"/>
      <c r="B22" s="35" t="s">
        <v>30</v>
      </c>
      <c r="C22" s="34"/>
      <c r="D22" s="36">
        <v>103.5</v>
      </c>
      <c r="E22" s="34"/>
      <c r="F22" s="36">
        <v>121.0</v>
      </c>
      <c r="G22" s="34"/>
      <c r="H22" s="36">
        <v>19.0</v>
      </c>
      <c r="I22" s="34"/>
      <c r="J22" s="36">
        <v>17.0</v>
      </c>
      <c r="K22" s="34"/>
      <c r="L22" s="36">
        <v>17.0</v>
      </c>
      <c r="M22" s="34"/>
      <c r="N22" s="37">
        <v>277.5</v>
      </c>
      <c r="O22" s="34"/>
      <c r="P22" s="34"/>
      <c r="Q22" s="34"/>
      <c r="R22" s="34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9"/>
      <c r="B23" s="31" t="s">
        <v>4</v>
      </c>
      <c r="C23" s="29"/>
      <c r="D23" s="32">
        <v>0.0</v>
      </c>
      <c r="E23" s="29"/>
      <c r="F23" s="32">
        <v>15.0</v>
      </c>
      <c r="G23" s="29"/>
      <c r="H23" s="32">
        <v>71.5</v>
      </c>
      <c r="I23" s="29"/>
      <c r="J23" s="32">
        <v>102.75</v>
      </c>
      <c r="K23" s="29"/>
      <c r="L23" s="32">
        <v>73.5</v>
      </c>
      <c r="M23" s="29"/>
      <c r="N23" s="33">
        <v>262.75</v>
      </c>
      <c r="O23" s="29"/>
      <c r="P23" s="29"/>
      <c r="Q23" s="29"/>
      <c r="R23" s="29"/>
      <c r="S23" s="2"/>
      <c r="T23" s="2"/>
      <c r="U23" s="2"/>
      <c r="V23" s="2"/>
      <c r="W23" s="2"/>
      <c r="X23" s="2"/>
      <c r="Y23" s="2"/>
      <c r="Z23" s="2"/>
    </row>
    <row r="24" ht="7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38"/>
      <c r="B25" s="28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29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9"/>
      <c r="B26" s="39" t="s">
        <v>32</v>
      </c>
      <c r="C26" s="4"/>
      <c r="D26" s="4"/>
      <c r="E26" s="4"/>
      <c r="F26" s="5"/>
      <c r="G26" s="39" t="s">
        <v>33</v>
      </c>
      <c r="H26" s="4"/>
      <c r="I26" s="4"/>
      <c r="J26" s="5"/>
      <c r="K26" s="39" t="s">
        <v>34</v>
      </c>
      <c r="L26" s="4"/>
      <c r="M26" s="4"/>
      <c r="N26" s="4"/>
      <c r="O26" s="4"/>
      <c r="P26" s="4"/>
      <c r="Q26" s="4"/>
      <c r="R26" s="5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"/>
      <c r="T57" s="2"/>
      <c r="U57" s="2"/>
      <c r="V57" s="2"/>
      <c r="W57" s="2"/>
      <c r="X57" s="2"/>
      <c r="Y57" s="2"/>
      <c r="Z57" s="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40"/>
      <c r="B59" s="28" t="s">
        <v>35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"/>
      <c r="R59" s="29"/>
      <c r="S59" s="2"/>
      <c r="T59" s="2"/>
      <c r="U59" s="2"/>
      <c r="V59" s="2"/>
      <c r="W59" s="2"/>
      <c r="X59" s="2"/>
      <c r="Y59" s="2"/>
      <c r="Z59" s="2"/>
    </row>
    <row r="60" ht="21.75" customHeight="1">
      <c r="A60" s="29"/>
      <c r="B60" s="30" t="s">
        <v>20</v>
      </c>
      <c r="C60" s="30" t="s">
        <v>36</v>
      </c>
      <c r="D60" s="29"/>
      <c r="E60" s="30" t="s">
        <v>37</v>
      </c>
      <c r="F60" s="29"/>
      <c r="G60" s="30" t="s">
        <v>38</v>
      </c>
      <c r="H60" s="30" t="s">
        <v>39</v>
      </c>
      <c r="I60" s="29"/>
      <c r="J60" s="30" t="s">
        <v>40</v>
      </c>
      <c r="K60" s="29"/>
      <c r="L60" s="30" t="s">
        <v>41</v>
      </c>
      <c r="M60" s="29"/>
      <c r="N60" s="30" t="s">
        <v>42</v>
      </c>
      <c r="O60" s="29"/>
      <c r="P60" s="29"/>
      <c r="Q60" s="30" t="s">
        <v>43</v>
      </c>
      <c r="R60" s="29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4"/>
      <c r="B61" s="41" t="str">
        <f>IFERROR(__xludf.DUMMYFUNCTION("IFERROR(filter(Data!$A$2:$A$200,((Data!$A$2:$A$200=$D$6)+($D$6=""All Months""))*(Data!$A$2:$A$200&lt;&gt;"""")),"""")"),"April 2026")</f>
        <v>April 2026</v>
      </c>
      <c r="C61" s="41" t="str">
        <f>IFERROR(__xludf.DUMMYFUNCTION("IFERROR(filter(Data!$B$2:$B$200,((Data!$A$2:$A$200=$D$6)+($D$6=""All Months""))*(Data!$A$2:$A$200&lt;&gt;"""")),"""")"),"Support Training")</f>
        <v>Support Training</v>
      </c>
      <c r="D61" s="34"/>
      <c r="E61" s="41" t="str">
        <f>IFERROR(__xludf.DUMMYFUNCTION("IFERROR(filter(Data!$C$2:$C$200,((Data!$A$2:$A$200=$D$6)+($D$6=""All Months""))*(Data!$A$2:$A$200&lt;&gt;"""")),"""")"),"Batch 2 - C360 Training")</f>
        <v>Batch 2 - C360 Training</v>
      </c>
      <c r="F61" s="34"/>
      <c r="G61" s="41" t="str">
        <f>IFERROR(__xludf.DUMMYFUNCTION("IFERROR(filter(Data!$D$2:$D$200,((Data!$A$2:$A$200=$D$6)+($D$6=""All Months""))*(Data!$A$2:$A$200&lt;&gt;"""")),"""")"),"7-Apr")</f>
        <v>7-Apr</v>
      </c>
      <c r="H61" s="41" t="str">
        <f>IFERROR(__xludf.DUMMYFUNCTION("IFERROR(filter(Data!$E$2:$E$200,((Data!$A$2:$A$200=$D$6)+($D$6=""All Months""))*(Data!$A$2:$A$200&lt;&gt;"""")),"""")"),"10-Apr")</f>
        <v>10-Apr</v>
      </c>
      <c r="I61" s="34"/>
      <c r="J61" s="41" t="str">
        <f>IFERROR(__xludf.DUMMYFUNCTION("IFERROR(filter(Data!$F$2:$F$200,((Data!$A$2:$A$200=$D$6)+($D$6=""All Months""))*(Data!$A$2:$A$200&lt;&gt;"""")),"""")"),"Freeda Reshma Dsouza")</f>
        <v>Freeda Reshma Dsouza</v>
      </c>
      <c r="K61" s="34"/>
      <c r="L61" s="41" t="str">
        <f>IFERROR(__xludf.DUMMYFUNCTION("IFERROR(filter(Data!$G$2:$G$200,((Data!$A$2:$A$200=$D$6)+($D$6=""All Months""))*(Data!$A$2:$A$200&lt;&gt;"""")),"""")"),"Offline")</f>
        <v>Offline</v>
      </c>
      <c r="M61" s="34"/>
      <c r="N61" s="41" t="str">
        <f>IFERROR(__xludf.DUMMYFUNCTION("IFERROR(filter(Data!$H$2:$H$200,((Data!$A$2:$A$200=$D$6)+($D$6=""All Months""))*(Data!$A$2:$A$200&lt;&gt;"""")),"""")"),"Assessment - Communicate 360")</f>
        <v>Assessment - Communicate 360</v>
      </c>
      <c r="O61" s="34"/>
      <c r="P61" s="34"/>
      <c r="Q61" s="41">
        <f>IFERROR(__xludf.DUMMYFUNCTION("IFERROR(filter(Data!$I$2:$I$200,((Data!$A$2:$A$200=$D$6)+($D$6=""All Months""))*(Data!$A$2:$A$200&lt;&gt;"""")),"""")"),20.0)</f>
        <v>20</v>
      </c>
      <c r="R61" s="34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9"/>
      <c r="B62" s="42" t="str">
        <f>IFERROR(__xludf.DUMMYFUNCTION("""COMPUTED_VALUE"""),"April 2026")</f>
        <v>April 2026</v>
      </c>
      <c r="C62" s="42" t="str">
        <f>IFERROR(__xludf.DUMMYFUNCTION("""COMPUTED_VALUE"""),"Support Training")</f>
        <v>Support Training</v>
      </c>
      <c r="D62" s="29"/>
      <c r="E62" s="42" t="str">
        <f>IFERROR(__xludf.DUMMYFUNCTION("""COMPUTED_VALUE"""),"Batch 3 - C360 Training")</f>
        <v>Batch 3 - C360 Training</v>
      </c>
      <c r="F62" s="29"/>
      <c r="G62" s="42" t="str">
        <f>IFERROR(__xludf.DUMMYFUNCTION("""COMPUTED_VALUE"""),"21-Apr")</f>
        <v>21-Apr</v>
      </c>
      <c r="H62" s="42" t="str">
        <f>IFERROR(__xludf.DUMMYFUNCTION("""COMPUTED_VALUE"""),"24-Apr")</f>
        <v>24-Apr</v>
      </c>
      <c r="I62" s="29"/>
      <c r="J62" s="42" t="str">
        <f>IFERROR(__xludf.DUMMYFUNCTION("""COMPUTED_VALUE"""),"Freeda Reshma Dsouza")</f>
        <v>Freeda Reshma Dsouza</v>
      </c>
      <c r="K62" s="29"/>
      <c r="L62" s="42" t="str">
        <f>IFERROR(__xludf.DUMMYFUNCTION("""COMPUTED_VALUE"""),"Offline")</f>
        <v>Offline</v>
      </c>
      <c r="M62" s="29"/>
      <c r="N62" s="42" t="str">
        <f>IFERROR(__xludf.DUMMYFUNCTION("""COMPUTED_VALUE"""),"Assessment - Communicate 360")</f>
        <v>Assessment - Communicate 360</v>
      </c>
      <c r="O62" s="29"/>
      <c r="P62" s="29"/>
      <c r="Q62" s="42">
        <f>IFERROR(__xludf.DUMMYFUNCTION("""COMPUTED_VALUE"""),20.0)</f>
        <v>20</v>
      </c>
      <c r="R62" s="29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4"/>
      <c r="B63" s="43" t="str">
        <f>IFERROR(__xludf.DUMMYFUNCTION("""COMPUTED_VALUE"""),"April 2026")</f>
        <v>April 2026</v>
      </c>
      <c r="C63" s="43" t="str">
        <f>IFERROR(__xludf.DUMMYFUNCTION("""COMPUTED_VALUE"""),"Support Training")</f>
        <v>Support Training</v>
      </c>
      <c r="D63" s="34"/>
      <c r="E63" s="43" t="str">
        <f>IFERROR(__xludf.DUMMYFUNCTION("""COMPUTED_VALUE"""),"Batch 2 - C360 Training (Girish)")</f>
        <v>Batch 2 - C360 Training (Girish)</v>
      </c>
      <c r="F63" s="34"/>
      <c r="G63" s="43" t="str">
        <f>IFERROR(__xludf.DUMMYFUNCTION("""COMPUTED_VALUE"""),"21-Apr")</f>
        <v>21-Apr</v>
      </c>
      <c r="H63" s="43" t="str">
        <f>IFERROR(__xludf.DUMMYFUNCTION("""COMPUTED_VALUE"""),"24-Apr")</f>
        <v>24-Apr</v>
      </c>
      <c r="I63" s="34"/>
      <c r="J63" s="43" t="str">
        <f>IFERROR(__xludf.DUMMYFUNCTION("""COMPUTED_VALUE"""),"Girish A")</f>
        <v>Girish A</v>
      </c>
      <c r="K63" s="34"/>
      <c r="L63" s="43" t="str">
        <f>IFERROR(__xludf.DUMMYFUNCTION("""COMPUTED_VALUE"""),"Offline")</f>
        <v>Offline</v>
      </c>
      <c r="M63" s="34"/>
      <c r="N63" s="43" t="str">
        <f>IFERROR(__xludf.DUMMYFUNCTION("""COMPUTED_VALUE"""),"Assessment - Communicate 360")</f>
        <v>Assessment - Communicate 360</v>
      </c>
      <c r="O63" s="34"/>
      <c r="P63" s="34"/>
      <c r="Q63" s="43">
        <f>IFERROR(__xludf.DUMMYFUNCTION("""COMPUTED_VALUE"""),9.0)</f>
        <v>9</v>
      </c>
      <c r="R63" s="34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9"/>
      <c r="B64" s="42" t="str">
        <f>IFERROR(__xludf.DUMMYFUNCTION("""COMPUTED_VALUE"""),"April 2026")</f>
        <v>April 2026</v>
      </c>
      <c r="C64" s="42" t="str">
        <f>IFERROR(__xludf.DUMMYFUNCTION("""COMPUTED_VALUE"""),"Support Training")</f>
        <v>Support Training</v>
      </c>
      <c r="D64" s="29"/>
      <c r="E64" s="42" t="str">
        <f>IFERROR(__xludf.DUMMYFUNCTION("""COMPUTED_VALUE"""),"Batch - C360 Training (Harish)")</f>
        <v>Batch - C360 Training (Harish)</v>
      </c>
      <c r="F64" s="29"/>
      <c r="G64" s="42" t="str">
        <f>IFERROR(__xludf.DUMMYFUNCTION("""COMPUTED_VALUE"""),"21-Apr")</f>
        <v>21-Apr</v>
      </c>
      <c r="H64" s="42" t="str">
        <f>IFERROR(__xludf.DUMMYFUNCTION("""COMPUTED_VALUE"""),"24-Apr")</f>
        <v>24-Apr</v>
      </c>
      <c r="I64" s="29"/>
      <c r="J64" s="42" t="str">
        <f>IFERROR(__xludf.DUMMYFUNCTION("""COMPUTED_VALUE"""),"Harish Bhat")</f>
        <v>Harish Bhat</v>
      </c>
      <c r="K64" s="29"/>
      <c r="L64" s="42" t="str">
        <f>IFERROR(__xludf.DUMMYFUNCTION("""COMPUTED_VALUE"""),"Offline")</f>
        <v>Offline</v>
      </c>
      <c r="M64" s="29"/>
      <c r="N64" s="42" t="str">
        <f>IFERROR(__xludf.DUMMYFUNCTION("""COMPUTED_VALUE"""),"Assessment - Communicate 360")</f>
        <v>Assessment - Communicate 360</v>
      </c>
      <c r="O64" s="29"/>
      <c r="P64" s="29"/>
      <c r="Q64" s="42">
        <f>IFERROR(__xludf.DUMMYFUNCTION("""COMPUTED_VALUE"""),9.0)</f>
        <v>9</v>
      </c>
      <c r="R64" s="29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4"/>
      <c r="B65" s="43" t="str">
        <f>IFERROR(__xludf.DUMMYFUNCTION("""COMPUTED_VALUE"""),"April 2026")</f>
        <v>April 2026</v>
      </c>
      <c r="C65" s="43" t="str">
        <f>IFERROR(__xludf.DUMMYFUNCTION("""COMPUTED_VALUE"""),"Support Training")</f>
        <v>Support Training</v>
      </c>
      <c r="D65" s="34"/>
      <c r="E65" s="43" t="str">
        <f>IFERROR(__xludf.DUMMYFUNCTION("""COMPUTED_VALUE"""),"Tool Building - C360 Modifications")</f>
        <v>Tool Building - C360 Modifications</v>
      </c>
      <c r="F65" s="34"/>
      <c r="G65" s="43" t="str">
        <f>IFERROR(__xludf.DUMMYFUNCTION("""COMPUTED_VALUE"""),"13-Apr")</f>
        <v>13-Apr</v>
      </c>
      <c r="H65" s="43" t="str">
        <f>IFERROR(__xludf.DUMMYFUNCTION("""COMPUTED_VALUE"""),"30-Apr")</f>
        <v>30-Apr</v>
      </c>
      <c r="I65" s="34"/>
      <c r="J65" s="43" t="str">
        <f>IFERROR(__xludf.DUMMYFUNCTION("""COMPUTED_VALUE"""),"Raju Vernekar / Girish A / Harish Bhat")</f>
        <v>Raju Vernekar / Girish A / Harish Bhat</v>
      </c>
      <c r="K65" s="34"/>
      <c r="L65" s="43" t="str">
        <f>IFERROR(__xludf.DUMMYFUNCTION("""COMPUTED_VALUE"""),"Offline")</f>
        <v>Offline</v>
      </c>
      <c r="M65" s="34"/>
      <c r="N65" s="43" t="str">
        <f>IFERROR(__xludf.DUMMYFUNCTION("""COMPUTED_VALUE"""),"Tool Building - C360 Modifications")</f>
        <v>Tool Building - C360 Modifications</v>
      </c>
      <c r="O65" s="34"/>
      <c r="P65" s="34"/>
      <c r="Q65" s="43">
        <f>IFERROR(__xludf.DUMMYFUNCTION("""COMPUTED_VALUE"""),15.0)</f>
        <v>15</v>
      </c>
      <c r="R65" s="34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9"/>
      <c r="B66" s="42" t="str">
        <f>IFERROR(__xludf.DUMMYFUNCTION("""COMPUTED_VALUE"""),"April 2026")</f>
        <v>April 2026</v>
      </c>
      <c r="C66" s="42" t="str">
        <f>IFERROR(__xludf.DUMMYFUNCTION("""COMPUTED_VALUE"""),"Assessment")</f>
        <v>Assessment</v>
      </c>
      <c r="D66" s="29"/>
      <c r="E66" s="42" t="str">
        <f>IFERROR(__xludf.DUMMYFUNCTION("""COMPUTED_VALUE"""),"Batch 1 - Correction C360")</f>
        <v>Batch 1 - Correction C360</v>
      </c>
      <c r="F66" s="29"/>
      <c r="G66" s="42" t="str">
        <f>IFERROR(__xludf.DUMMYFUNCTION("""COMPUTED_VALUE"""),"11-Apr")</f>
        <v>11-Apr</v>
      </c>
      <c r="H66" s="42" t="str">
        <f>IFERROR(__xludf.DUMMYFUNCTION("""COMPUTED_VALUE"""),"15-Apr")</f>
        <v>15-Apr</v>
      </c>
      <c r="I66" s="29"/>
      <c r="J66" s="42" t="str">
        <f>IFERROR(__xludf.DUMMYFUNCTION("""COMPUTED_VALUE"""),"Freeda Reshma Dsouza / Girish A / Harish Bhat")</f>
        <v>Freeda Reshma Dsouza / Girish A / Harish Bhat</v>
      </c>
      <c r="K66" s="29"/>
      <c r="L66" s="42" t="str">
        <f>IFERROR(__xludf.DUMMYFUNCTION("""COMPUTED_VALUE"""),"Offline")</f>
        <v>Offline</v>
      </c>
      <c r="M66" s="29"/>
      <c r="N66" s="42" t="str">
        <f>IFERROR(__xludf.DUMMYFUNCTION("""COMPUTED_VALUE"""),"Correction of Assessment - C360")</f>
        <v>Correction of Assessment - C360</v>
      </c>
      <c r="O66" s="29"/>
      <c r="P66" s="29"/>
      <c r="Q66" s="42">
        <f>IFERROR(__xludf.DUMMYFUNCTION("""COMPUTED_VALUE"""),30.0)</f>
        <v>30</v>
      </c>
      <c r="R66" s="29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4"/>
      <c r="B67" s="43" t="str">
        <f>IFERROR(__xludf.DUMMYFUNCTION("""COMPUTED_VALUE"""),"April 2026")</f>
        <v>April 2026</v>
      </c>
      <c r="C67" s="43" t="str">
        <f>IFERROR(__xludf.DUMMYFUNCTION("""COMPUTED_VALUE"""),"Assessment")</f>
        <v>Assessment</v>
      </c>
      <c r="D67" s="34"/>
      <c r="E67" s="43" t="str">
        <f>IFERROR(__xludf.DUMMYFUNCTION("""COMPUTED_VALUE"""),"Batch 2 - Correction C360")</f>
        <v>Batch 2 - Correction C360</v>
      </c>
      <c r="F67" s="34"/>
      <c r="G67" s="43" t="str">
        <f>IFERROR(__xludf.DUMMYFUNCTION("""COMPUTED_VALUE"""),"27-Apr")</f>
        <v>27-Apr</v>
      </c>
      <c r="H67" s="43" t="str">
        <f>IFERROR(__xludf.DUMMYFUNCTION("""COMPUTED_VALUE"""),"30-Apr")</f>
        <v>30-Apr</v>
      </c>
      <c r="I67" s="34"/>
      <c r="J67" s="43" t="str">
        <f>IFERROR(__xludf.DUMMYFUNCTION("""COMPUTED_VALUE"""),"Girish A / Harish Bhat")</f>
        <v>Girish A / Harish Bhat</v>
      </c>
      <c r="K67" s="34"/>
      <c r="L67" s="43" t="str">
        <f>IFERROR(__xludf.DUMMYFUNCTION("""COMPUTED_VALUE"""),"Offline")</f>
        <v>Offline</v>
      </c>
      <c r="M67" s="34"/>
      <c r="N67" s="43" t="str">
        <f>IFERROR(__xludf.DUMMYFUNCTION("""COMPUTED_VALUE"""),"Correction of Assessment - C360")</f>
        <v>Correction of Assessment - C360</v>
      </c>
      <c r="O67" s="34"/>
      <c r="P67" s="34"/>
      <c r="Q67" s="43">
        <f>IFERROR(__xludf.DUMMYFUNCTION("""COMPUTED_VALUE"""),15.0)</f>
        <v>15</v>
      </c>
      <c r="R67" s="34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9"/>
      <c r="B68" s="42" t="str">
        <f>IFERROR(__xludf.DUMMYFUNCTION("""COMPUTED_VALUE"""),"April 2026")</f>
        <v>April 2026</v>
      </c>
      <c r="C68" s="42" t="str">
        <f>IFERROR(__xludf.DUMMYFUNCTION("""COMPUTED_VALUE"""),"Support Training")</f>
        <v>Support Training</v>
      </c>
      <c r="D68" s="29"/>
      <c r="E68" s="42" t="str">
        <f>IFERROR(__xludf.DUMMYFUNCTION("""COMPUTED_VALUE"""),"Batch 1&amp;2 Report Generation - C360")</f>
        <v>Batch 1&amp;2 Report Generation - C360</v>
      </c>
      <c r="F68" s="29"/>
      <c r="G68" s="42" t="str">
        <f>IFERROR(__xludf.DUMMYFUNCTION("""COMPUTED_VALUE"""),"21-Apr")</f>
        <v>21-Apr</v>
      </c>
      <c r="H68" s="42" t="str">
        <f>IFERROR(__xludf.DUMMYFUNCTION("""COMPUTED_VALUE"""),"21-Apr")</f>
        <v>21-Apr</v>
      </c>
      <c r="I68" s="29"/>
      <c r="J68" s="42" t="str">
        <f>IFERROR(__xludf.DUMMYFUNCTION("""COMPUTED_VALUE"""),"Harish Bhat")</f>
        <v>Harish Bhat</v>
      </c>
      <c r="K68" s="29"/>
      <c r="L68" s="42" t="str">
        <f>IFERROR(__xludf.DUMMYFUNCTION("""COMPUTED_VALUE"""),"Offline")</f>
        <v>Offline</v>
      </c>
      <c r="M68" s="29"/>
      <c r="N68" s="42" t="str">
        <f>IFERROR(__xludf.DUMMYFUNCTION("""COMPUTED_VALUE"""),"Report Generation - C360")</f>
        <v>Report Generation - C360</v>
      </c>
      <c r="O68" s="29"/>
      <c r="P68" s="29"/>
      <c r="Q68" s="42">
        <f>IFERROR(__xludf.DUMMYFUNCTION("""COMPUTED_VALUE"""),8.0)</f>
        <v>8</v>
      </c>
      <c r="R68" s="29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4"/>
      <c r="B69" s="43" t="str">
        <f>IFERROR(__xludf.DUMMYFUNCTION("""COMPUTED_VALUE"""),"April 2026")</f>
        <v>April 2026</v>
      </c>
      <c r="C69" s="43" t="str">
        <f>IFERROR(__xludf.DUMMYFUNCTION("""COMPUTED_VALUE"""),"Accop Training")</f>
        <v>Accop Training</v>
      </c>
      <c r="D69" s="34"/>
      <c r="E69" s="43" t="str">
        <f>IFERROR(__xludf.DUMMYFUNCTION("""COMPUTED_VALUE"""),"Session on AML &amp; Stock tips")</f>
        <v>Session on AML &amp; Stock tips</v>
      </c>
      <c r="F69" s="34"/>
      <c r="G69" s="43" t="str">
        <f>IFERROR(__xludf.DUMMYFUNCTION("""COMPUTED_VALUE"""),"23-Apr")</f>
        <v>23-Apr</v>
      </c>
      <c r="H69" s="43" t="str">
        <f>IFERROR(__xludf.DUMMYFUNCTION("""COMPUTED_VALUE"""),"23-Apr")</f>
        <v>23-Apr</v>
      </c>
      <c r="I69" s="34"/>
      <c r="J69" s="43" t="str">
        <f>IFERROR(__xludf.DUMMYFUNCTION("""COMPUTED_VALUE"""),"Girish A")</f>
        <v>Girish A</v>
      </c>
      <c r="K69" s="34"/>
      <c r="L69" s="43" t="str">
        <f>IFERROR(__xludf.DUMMYFUNCTION("""COMPUTED_VALUE"""),"Online")</f>
        <v>Online</v>
      </c>
      <c r="M69" s="34"/>
      <c r="N69" s="43" t="str">
        <f>IFERROR(__xludf.DUMMYFUNCTION("""COMPUTED_VALUE"""),"AML &amp; Stock tips")</f>
        <v>AML &amp; Stock tips</v>
      </c>
      <c r="O69" s="34"/>
      <c r="P69" s="34"/>
      <c r="Q69" s="43">
        <f>IFERROR(__xludf.DUMMYFUNCTION("""COMPUTED_VALUE"""),1.75)</f>
        <v>1.75</v>
      </c>
      <c r="R69" s="34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9"/>
      <c r="B70" s="42" t="str">
        <f>IFERROR(__xludf.DUMMYFUNCTION("""COMPUTED_VALUE"""),"April 2026")</f>
        <v>April 2026</v>
      </c>
      <c r="C70" s="42" t="str">
        <f>IFERROR(__xludf.DUMMYFUNCTION("""COMPUTED_VALUE"""),"NRI Team Training")</f>
        <v>NRI Team Training</v>
      </c>
      <c r="D70" s="29"/>
      <c r="E70" s="42" t="str">
        <f>IFERROR(__xludf.DUMMYFUNCTION("""COMPUTED_VALUE"""),"Session on AML &amp; Stock tips")</f>
        <v>Session on AML &amp; Stock tips</v>
      </c>
      <c r="F70" s="29"/>
      <c r="G70" s="42" t="str">
        <f>IFERROR(__xludf.DUMMYFUNCTION("""COMPUTED_VALUE"""),"27-Apr")</f>
        <v>27-Apr</v>
      </c>
      <c r="H70" s="42" t="str">
        <f>IFERROR(__xludf.DUMMYFUNCTION("""COMPUTED_VALUE"""),"27-Apr")</f>
        <v>27-Apr</v>
      </c>
      <c r="I70" s="29"/>
      <c r="J70" s="42" t="str">
        <f>IFERROR(__xludf.DUMMYFUNCTION("""COMPUTED_VALUE"""),"Harish Bhat")</f>
        <v>Harish Bhat</v>
      </c>
      <c r="K70" s="29"/>
      <c r="L70" s="42" t="str">
        <f>IFERROR(__xludf.DUMMYFUNCTION("""COMPUTED_VALUE"""),"Online")</f>
        <v>Online</v>
      </c>
      <c r="M70" s="29"/>
      <c r="N70" s="42" t="str">
        <f>IFERROR(__xludf.DUMMYFUNCTION("""COMPUTED_VALUE"""),"AML &amp; Stock tips")</f>
        <v>AML &amp; Stock tips</v>
      </c>
      <c r="O70" s="29"/>
      <c r="P70" s="29"/>
      <c r="Q70" s="42">
        <f>IFERROR(__xludf.DUMMYFUNCTION("""COMPUTED_VALUE"""),1.75)</f>
        <v>1.75</v>
      </c>
      <c r="R70" s="29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4"/>
      <c r="B71" s="43" t="str">
        <f>IFERROR(__xludf.DUMMYFUNCTION("""COMPUTED_VALUE"""),"April 2026")</f>
        <v>April 2026</v>
      </c>
      <c r="C71" s="43" t="str">
        <f>IFERROR(__xludf.DUMMYFUNCTION("""COMPUTED_VALUE"""),"Fresh Hires Training")</f>
        <v>Fresh Hires Training</v>
      </c>
      <c r="D71" s="34"/>
      <c r="E71" s="43" t="str">
        <f>IFERROR(__xludf.DUMMYFUNCTION("""COMPUTED_VALUE"""),"Session on AML &amp; Stock tips")</f>
        <v>Session on AML &amp; Stock tips</v>
      </c>
      <c r="F71" s="34"/>
      <c r="G71" s="43" t="str">
        <f>IFERROR(__xludf.DUMMYFUNCTION("""COMPUTED_VALUE"""),"29-Apr")</f>
        <v>29-Apr</v>
      </c>
      <c r="H71" s="43" t="str">
        <f>IFERROR(__xludf.DUMMYFUNCTION("""COMPUTED_VALUE"""),"29-Apr")</f>
        <v>29-Apr</v>
      </c>
      <c r="I71" s="34"/>
      <c r="J71" s="43" t="str">
        <f>IFERROR(__xludf.DUMMYFUNCTION("""COMPUTED_VALUE"""),"Girish A")</f>
        <v>Girish A</v>
      </c>
      <c r="K71" s="34"/>
      <c r="L71" s="43" t="str">
        <f>IFERROR(__xludf.DUMMYFUNCTION("""COMPUTED_VALUE"""),"Online")</f>
        <v>Online</v>
      </c>
      <c r="M71" s="34"/>
      <c r="N71" s="43" t="str">
        <f>IFERROR(__xludf.DUMMYFUNCTION("""COMPUTED_VALUE"""),"AML &amp; Stock tips")</f>
        <v>AML &amp; Stock tips</v>
      </c>
      <c r="O71" s="34"/>
      <c r="P71" s="34"/>
      <c r="Q71" s="43">
        <f>IFERROR(__xludf.DUMMYFUNCTION("""COMPUTED_VALUE"""),0.75)</f>
        <v>0.75</v>
      </c>
      <c r="R71" s="34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9"/>
      <c r="B72" s="42" t="str">
        <f>IFERROR(__xludf.DUMMYFUNCTION("""COMPUTED_VALUE"""),"April 2026")</f>
        <v>April 2026</v>
      </c>
      <c r="C72" s="42" t="str">
        <f>IFERROR(__xludf.DUMMYFUNCTION("""COMPUTED_VALUE"""),"Training Need Analysis")</f>
        <v>Training Need Analysis</v>
      </c>
      <c r="D72" s="29"/>
      <c r="E72" s="42" t="str">
        <f>IFERROR(__xludf.DUMMYFUNCTION("""COMPUTED_VALUE"""),"Understanding requirements from CS")</f>
        <v>Understanding requirements from CS</v>
      </c>
      <c r="F72" s="29"/>
      <c r="G72" s="42" t="str">
        <f>IFERROR(__xludf.DUMMYFUNCTION("""COMPUTED_VALUE"""),"16-Apr")</f>
        <v>16-Apr</v>
      </c>
      <c r="H72" s="42" t="str">
        <f>IFERROR(__xludf.DUMMYFUNCTION("""COMPUTED_VALUE"""),"16-Apr")</f>
        <v>16-Apr</v>
      </c>
      <c r="I72" s="29"/>
      <c r="J72" s="42" t="str">
        <f>IFERROR(__xludf.DUMMYFUNCTION("""COMPUTED_VALUE"""),"Freeda Reshma Dsouza")</f>
        <v>Freeda Reshma Dsouza</v>
      </c>
      <c r="K72" s="29"/>
      <c r="L72" s="42" t="str">
        <f>IFERROR(__xludf.DUMMYFUNCTION("""COMPUTED_VALUE"""),"Online")</f>
        <v>Online</v>
      </c>
      <c r="M72" s="29"/>
      <c r="N72" s="42" t="str">
        <f>IFERROR(__xludf.DUMMYFUNCTION("""COMPUTED_VALUE"""),"Training Need Analysis")</f>
        <v>Training Need Analysis</v>
      </c>
      <c r="O72" s="29"/>
      <c r="P72" s="29"/>
      <c r="Q72" s="42">
        <f>IFERROR(__xludf.DUMMYFUNCTION("""COMPUTED_VALUE"""),1.0)</f>
        <v>1</v>
      </c>
      <c r="R72" s="29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4"/>
      <c r="B73" s="43" t="str">
        <f>IFERROR(__xludf.DUMMYFUNCTION("""COMPUTED_VALUE"""),"April 2026")</f>
        <v>April 2026</v>
      </c>
      <c r="C73" s="43" t="str">
        <f>IFERROR(__xludf.DUMMYFUNCTION("""COMPUTED_VALUE"""),"Self Assessment Form")</f>
        <v>Self Assessment Form</v>
      </c>
      <c r="D73" s="34"/>
      <c r="E73" s="43" t="str">
        <f>IFERROR(__xludf.DUMMYFUNCTION("""COMPUTED_VALUE"""),"Building self assessment for CS")</f>
        <v>Building self assessment for CS</v>
      </c>
      <c r="F73" s="34"/>
      <c r="G73" s="43" t="str">
        <f>IFERROR(__xludf.DUMMYFUNCTION("""COMPUTED_VALUE"""),"17-Apr")</f>
        <v>17-Apr</v>
      </c>
      <c r="H73" s="43" t="str">
        <f>IFERROR(__xludf.DUMMYFUNCTION("""COMPUTED_VALUE"""),"17-Apr")</f>
        <v>17-Apr</v>
      </c>
      <c r="I73" s="34"/>
      <c r="J73" s="43" t="str">
        <f>IFERROR(__xludf.DUMMYFUNCTION("""COMPUTED_VALUE"""),"Freeda Reshma Dsouza")</f>
        <v>Freeda Reshma Dsouza</v>
      </c>
      <c r="K73" s="34"/>
      <c r="L73" s="43" t="str">
        <f>IFERROR(__xludf.DUMMYFUNCTION("""COMPUTED_VALUE"""),"Online")</f>
        <v>Online</v>
      </c>
      <c r="M73" s="34"/>
      <c r="N73" s="43" t="str">
        <f>IFERROR(__xludf.DUMMYFUNCTION("""COMPUTED_VALUE"""),"Self Assessment")</f>
        <v>Self Assessment</v>
      </c>
      <c r="O73" s="34"/>
      <c r="P73" s="34"/>
      <c r="Q73" s="43">
        <f>IFERROR(__xludf.DUMMYFUNCTION("""COMPUTED_VALUE"""),0.5)</f>
        <v>0.5</v>
      </c>
      <c r="R73" s="34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9"/>
      <c r="B74" s="42" t="str">
        <f>IFERROR(__xludf.DUMMYFUNCTION("""COMPUTED_VALUE"""),"April 2026")</f>
        <v>April 2026</v>
      </c>
      <c r="C74" s="42" t="str">
        <f>IFERROR(__xludf.DUMMYFUNCTION("""COMPUTED_VALUE"""),"Varsity Scripts Writing")</f>
        <v>Varsity Scripts Writing</v>
      </c>
      <c r="D74" s="29"/>
      <c r="E74" s="42" t="str">
        <f>IFERROR(__xludf.DUMMYFUNCTION("""COMPUTED_VALUE"""),"Script preparation")</f>
        <v>Script preparation</v>
      </c>
      <c r="F74" s="29"/>
      <c r="G74" s="42" t="str">
        <f>IFERROR(__xludf.DUMMYFUNCTION("""COMPUTED_VALUE"""),"-")</f>
        <v>-</v>
      </c>
      <c r="H74" s="42" t="str">
        <f>IFERROR(__xludf.DUMMYFUNCTION("""COMPUTED_VALUE"""),"-")</f>
        <v>-</v>
      </c>
      <c r="I74" s="29"/>
      <c r="J74" s="42" t="str">
        <f>IFERROR(__xludf.DUMMYFUNCTION("""COMPUTED_VALUE"""),"Harish Bhat")</f>
        <v>Harish Bhat</v>
      </c>
      <c r="K74" s="29"/>
      <c r="L74" s="42" t="str">
        <f>IFERROR(__xludf.DUMMYFUNCTION("""COMPUTED_VALUE"""),"Offline")</f>
        <v>Offline</v>
      </c>
      <c r="M74" s="29"/>
      <c r="N74" s="42" t="str">
        <f>IFERROR(__xludf.DUMMYFUNCTION("""COMPUTED_VALUE"""),"Varsity Scripts")</f>
        <v>Varsity Scripts</v>
      </c>
      <c r="O74" s="29"/>
      <c r="P74" s="29"/>
      <c r="Q74" s="42">
        <f>IFERROR(__xludf.DUMMYFUNCTION("""COMPUTED_VALUE"""),2.0)</f>
        <v>2</v>
      </c>
      <c r="R74" s="29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4"/>
      <c r="B75" s="43" t="str">
        <f>IFERROR(__xludf.DUMMYFUNCTION("""COMPUTED_VALUE"""),"April 2026")</f>
        <v>April 2026</v>
      </c>
      <c r="C75" s="43" t="str">
        <f>IFERROR(__xludf.DUMMYFUNCTION("""COMPUTED_VALUE"""),"Varsity Video Shoot")</f>
        <v>Varsity Video Shoot</v>
      </c>
      <c r="D75" s="34"/>
      <c r="E75" s="43" t="str">
        <f>IFERROR(__xludf.DUMMYFUNCTION("""COMPUTED_VALUE"""),"Video recording")</f>
        <v>Video recording</v>
      </c>
      <c r="F75" s="34"/>
      <c r="G75" s="43" t="str">
        <f>IFERROR(__xludf.DUMMYFUNCTION("""COMPUTED_VALUE"""),"-")</f>
        <v>-</v>
      </c>
      <c r="H75" s="43" t="str">
        <f>IFERROR(__xludf.DUMMYFUNCTION("""COMPUTED_VALUE"""),"-")</f>
        <v>-</v>
      </c>
      <c r="I75" s="34"/>
      <c r="J75" s="43" t="str">
        <f>IFERROR(__xludf.DUMMYFUNCTION("""COMPUTED_VALUE"""),"Harish Bhat")</f>
        <v>Harish Bhat</v>
      </c>
      <c r="K75" s="34"/>
      <c r="L75" s="43" t="str">
        <f>IFERROR(__xludf.DUMMYFUNCTION("""COMPUTED_VALUE"""),"Offline")</f>
        <v>Offline</v>
      </c>
      <c r="M75" s="34"/>
      <c r="N75" s="43" t="str">
        <f>IFERROR(__xludf.DUMMYFUNCTION("""COMPUTED_VALUE"""),"Varsity Videos")</f>
        <v>Varsity Videos</v>
      </c>
      <c r="O75" s="34"/>
      <c r="P75" s="34"/>
      <c r="Q75" s="43">
        <f>IFERROR(__xludf.DUMMYFUNCTION("""COMPUTED_VALUE"""),2.0)</f>
        <v>2</v>
      </c>
      <c r="R75" s="34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9"/>
      <c r="B76" s="42" t="str">
        <f>IFERROR(__xludf.DUMMYFUNCTION("""COMPUTED_VALUE"""),"April 2026")</f>
        <v>April 2026</v>
      </c>
      <c r="C76" s="42" t="str">
        <f>IFERROR(__xludf.DUMMYFUNCTION("""COMPUTED_VALUE"""),"Varsity Backend Support")</f>
        <v>Varsity Backend Support</v>
      </c>
      <c r="D76" s="29"/>
      <c r="E76" s="42" t="str">
        <f>IFERROR(__xludf.DUMMYFUNCTION("""COMPUTED_VALUE"""),"Tickets, exam schedule, Rupee Tales")</f>
        <v>Tickets, exam schedule, Rupee Tales</v>
      </c>
      <c r="F76" s="29"/>
      <c r="G76" s="42" t="str">
        <f>IFERROR(__xludf.DUMMYFUNCTION("""COMPUTED_VALUE"""),"-")</f>
        <v>-</v>
      </c>
      <c r="H76" s="42" t="str">
        <f>IFERROR(__xludf.DUMMYFUNCTION("""COMPUTED_VALUE"""),"-")</f>
        <v>-</v>
      </c>
      <c r="I76" s="29"/>
      <c r="J76" s="42" t="str">
        <f>IFERROR(__xludf.DUMMYFUNCTION("""COMPUTED_VALUE"""),"Harish Bhat")</f>
        <v>Harish Bhat</v>
      </c>
      <c r="K76" s="29"/>
      <c r="L76" s="42" t="str">
        <f>IFERROR(__xludf.DUMMYFUNCTION("""COMPUTED_VALUE"""),"Offline")</f>
        <v>Offline</v>
      </c>
      <c r="M76" s="29"/>
      <c r="N76" s="42" t="str">
        <f>IFERROR(__xludf.DUMMYFUNCTION("""COMPUTED_VALUE"""),"Varsity Backend")</f>
        <v>Varsity Backend</v>
      </c>
      <c r="O76" s="29"/>
      <c r="P76" s="29"/>
      <c r="Q76" s="42">
        <f>IFERROR(__xludf.DUMMYFUNCTION("""COMPUTED_VALUE"""),15.0)</f>
        <v>15</v>
      </c>
      <c r="R76" s="29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4"/>
      <c r="B77" s="43" t="str">
        <f>IFERROR(__xludf.DUMMYFUNCTION("""COMPUTED_VALUE"""),"April 2026")</f>
        <v>April 2026</v>
      </c>
      <c r="C77" s="43" t="str">
        <f>IFERROR(__xludf.DUMMYFUNCTION("""COMPUTED_VALUE"""),"Mock Calls")</f>
        <v>Mock Calls</v>
      </c>
      <c r="D77" s="34"/>
      <c r="E77" s="43" t="str">
        <f>IFERROR(__xludf.DUMMYFUNCTION("""COMPUTED_VALUE"""),"Mock calls for SM")</f>
        <v>Mock calls for SM</v>
      </c>
      <c r="F77" s="34"/>
      <c r="G77" s="43" t="str">
        <f>IFERROR(__xludf.DUMMYFUNCTION("""COMPUTED_VALUE"""),"30-Apr")</f>
        <v>30-Apr</v>
      </c>
      <c r="H77" s="43" t="str">
        <f>IFERROR(__xludf.DUMMYFUNCTION("""COMPUTED_VALUE"""),"30-Apr")</f>
        <v>30-Apr</v>
      </c>
      <c r="I77" s="34"/>
      <c r="J77" s="43" t="str">
        <f>IFERROR(__xludf.DUMMYFUNCTION("""COMPUTED_VALUE"""),"Harish Bhat")</f>
        <v>Harish Bhat</v>
      </c>
      <c r="K77" s="34"/>
      <c r="L77" s="43" t="str">
        <f>IFERROR(__xludf.DUMMYFUNCTION("""COMPUTED_VALUE"""),"Offline")</f>
        <v>Offline</v>
      </c>
      <c r="M77" s="34"/>
      <c r="N77" s="43" t="str">
        <f>IFERROR(__xludf.DUMMYFUNCTION("""COMPUTED_VALUE"""),"Mock calls")</f>
        <v>Mock calls</v>
      </c>
      <c r="O77" s="34"/>
      <c r="P77" s="34"/>
      <c r="Q77" s="43">
        <f>IFERROR(__xludf.DUMMYFUNCTION("""COMPUTED_VALUE"""),2.0)</f>
        <v>2</v>
      </c>
      <c r="R77" s="34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9"/>
      <c r="B78" s="42" t="str">
        <f>IFERROR(__xludf.DUMMYFUNCTION("""COMPUTED_VALUE"""),"April 2026")</f>
        <v>April 2026</v>
      </c>
      <c r="C78" s="42" t="str">
        <f>IFERROR(__xludf.DUMMYFUNCTION("""COMPUTED_VALUE"""),"Mock Calls")</f>
        <v>Mock Calls</v>
      </c>
      <c r="D78" s="29"/>
      <c r="E78" s="42" t="str">
        <f>IFERROR(__xludf.DUMMYFUNCTION("""COMPUTED_VALUE"""),"Mock calls for SM")</f>
        <v>Mock calls for SM</v>
      </c>
      <c r="F78" s="29"/>
      <c r="G78" s="42" t="str">
        <f>IFERROR(__xludf.DUMMYFUNCTION("""COMPUTED_VALUE"""),"30-Apr")</f>
        <v>30-Apr</v>
      </c>
      <c r="H78" s="42" t="str">
        <f>IFERROR(__xludf.DUMMYFUNCTION("""COMPUTED_VALUE"""),"30-Apr")</f>
        <v>30-Apr</v>
      </c>
      <c r="I78" s="29"/>
      <c r="J78" s="42" t="str">
        <f>IFERROR(__xludf.DUMMYFUNCTION("""COMPUTED_VALUE"""),"Girish A")</f>
        <v>Girish A</v>
      </c>
      <c r="K78" s="29"/>
      <c r="L78" s="42" t="str">
        <f>IFERROR(__xludf.DUMMYFUNCTION("""COMPUTED_VALUE"""),"Offline")</f>
        <v>Offline</v>
      </c>
      <c r="M78" s="29"/>
      <c r="N78" s="42" t="str">
        <f>IFERROR(__xludf.DUMMYFUNCTION("""COMPUTED_VALUE"""),"Mock calls")</f>
        <v>Mock calls</v>
      </c>
      <c r="O78" s="29"/>
      <c r="P78" s="29"/>
      <c r="Q78" s="42">
        <f>IFERROR(__xludf.DUMMYFUNCTION("""COMPUTED_VALUE"""),2.0)</f>
        <v>2</v>
      </c>
      <c r="R78" s="29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4"/>
      <c r="B79" s="43" t="str">
        <f>IFERROR(__xludf.DUMMYFUNCTION("""COMPUTED_VALUE"""),"April 2026")</f>
        <v>April 2026</v>
      </c>
      <c r="C79" s="43" t="str">
        <f>IFERROR(__xludf.DUMMYFUNCTION("""COMPUTED_VALUE"""),"Ticket Tool Video")</f>
        <v>Ticket Tool Video</v>
      </c>
      <c r="D79" s="34"/>
      <c r="E79" s="43" t="str">
        <f>IFERROR(__xludf.DUMMYFUNCTION("""COMPUTED_VALUE"""),"Video production")</f>
        <v>Video production</v>
      </c>
      <c r="F79" s="34"/>
      <c r="G79" s="43" t="str">
        <f>IFERROR(__xludf.DUMMYFUNCTION("""COMPUTED_VALUE"""),"2-May")</f>
        <v>2-May</v>
      </c>
      <c r="H79" s="43" t="str">
        <f>IFERROR(__xludf.DUMMYFUNCTION("""COMPUTED_VALUE"""),"2-May")</f>
        <v>2-May</v>
      </c>
      <c r="I79" s="34"/>
      <c r="J79" s="43" t="str">
        <f>IFERROR(__xludf.DUMMYFUNCTION("""COMPUTED_VALUE"""),"Harish Bhat")</f>
        <v>Harish Bhat</v>
      </c>
      <c r="K79" s="34"/>
      <c r="L79" s="43" t="str">
        <f>IFERROR(__xludf.DUMMYFUNCTION("""COMPUTED_VALUE"""),"Online")</f>
        <v>Online</v>
      </c>
      <c r="M79" s="34"/>
      <c r="N79" s="43" t="str">
        <f>IFERROR(__xludf.DUMMYFUNCTION("""COMPUTED_VALUE"""),"Ticket Tool")</f>
        <v>Ticket Tool</v>
      </c>
      <c r="O79" s="34"/>
      <c r="P79" s="34"/>
      <c r="Q79" s="43">
        <f>IFERROR(__xludf.DUMMYFUNCTION("""COMPUTED_VALUE"""),3.0)</f>
        <v>3</v>
      </c>
      <c r="R79" s="34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9"/>
      <c r="B80" s="42"/>
      <c r="C80" s="42"/>
      <c r="D80" s="29"/>
      <c r="E80" s="42"/>
      <c r="F80" s="29"/>
      <c r="G80" s="42"/>
      <c r="H80" s="42"/>
      <c r="I80" s="29"/>
      <c r="J80" s="42"/>
      <c r="K80" s="29"/>
      <c r="L80" s="42"/>
      <c r="M80" s="29"/>
      <c r="N80" s="42"/>
      <c r="O80" s="29"/>
      <c r="P80" s="29"/>
      <c r="Q80" s="42"/>
      <c r="R80" s="29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4"/>
      <c r="B81" s="43"/>
      <c r="C81" s="43"/>
      <c r="D81" s="34"/>
      <c r="E81" s="43"/>
      <c r="F81" s="34"/>
      <c r="G81" s="43"/>
      <c r="H81" s="43"/>
      <c r="I81" s="34"/>
      <c r="J81" s="43"/>
      <c r="K81" s="34"/>
      <c r="L81" s="43"/>
      <c r="M81" s="34"/>
      <c r="N81" s="43"/>
      <c r="O81" s="34"/>
      <c r="P81" s="34"/>
      <c r="Q81" s="43"/>
      <c r="R81" s="34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9"/>
      <c r="B82" s="42"/>
      <c r="C82" s="42"/>
      <c r="D82" s="29"/>
      <c r="E82" s="42"/>
      <c r="F82" s="29"/>
      <c r="G82" s="42"/>
      <c r="H82" s="42"/>
      <c r="I82" s="29"/>
      <c r="J82" s="42"/>
      <c r="K82" s="29"/>
      <c r="L82" s="42"/>
      <c r="M82" s="29"/>
      <c r="N82" s="42"/>
      <c r="O82" s="29"/>
      <c r="P82" s="29"/>
      <c r="Q82" s="42"/>
      <c r="R82" s="29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4"/>
      <c r="B83" s="43"/>
      <c r="C83" s="43"/>
      <c r="D83" s="34"/>
      <c r="E83" s="43"/>
      <c r="F83" s="34"/>
      <c r="G83" s="43"/>
      <c r="H83" s="43"/>
      <c r="I83" s="34"/>
      <c r="J83" s="43"/>
      <c r="K83" s="34"/>
      <c r="L83" s="43"/>
      <c r="M83" s="34"/>
      <c r="N83" s="43"/>
      <c r="O83" s="34"/>
      <c r="P83" s="34"/>
      <c r="Q83" s="43"/>
      <c r="R83" s="34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9"/>
      <c r="B84" s="42"/>
      <c r="C84" s="42"/>
      <c r="D84" s="29"/>
      <c r="E84" s="42"/>
      <c r="F84" s="29"/>
      <c r="G84" s="42"/>
      <c r="H84" s="42"/>
      <c r="I84" s="29"/>
      <c r="J84" s="42"/>
      <c r="K84" s="29"/>
      <c r="L84" s="42"/>
      <c r="M84" s="29"/>
      <c r="N84" s="42"/>
      <c r="O84" s="29"/>
      <c r="P84" s="29"/>
      <c r="Q84" s="42"/>
      <c r="R84" s="29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4"/>
      <c r="B85" s="43"/>
      <c r="C85" s="43"/>
      <c r="D85" s="34"/>
      <c r="E85" s="43"/>
      <c r="F85" s="34"/>
      <c r="G85" s="43"/>
      <c r="H85" s="43"/>
      <c r="I85" s="34"/>
      <c r="J85" s="43"/>
      <c r="K85" s="34"/>
      <c r="L85" s="43"/>
      <c r="M85" s="34"/>
      <c r="N85" s="43"/>
      <c r="O85" s="34"/>
      <c r="P85" s="34"/>
      <c r="Q85" s="43"/>
      <c r="R85" s="34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9"/>
      <c r="B86" s="42"/>
      <c r="C86" s="42"/>
      <c r="D86" s="29"/>
      <c r="E86" s="42"/>
      <c r="F86" s="29"/>
      <c r="G86" s="42"/>
      <c r="H86" s="42"/>
      <c r="I86" s="29"/>
      <c r="J86" s="42"/>
      <c r="K86" s="29"/>
      <c r="L86" s="42"/>
      <c r="M86" s="29"/>
      <c r="N86" s="42"/>
      <c r="O86" s="29"/>
      <c r="P86" s="29"/>
      <c r="Q86" s="42"/>
      <c r="R86" s="29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4"/>
      <c r="B87" s="43"/>
      <c r="C87" s="43"/>
      <c r="D87" s="34"/>
      <c r="E87" s="43"/>
      <c r="F87" s="34"/>
      <c r="G87" s="43"/>
      <c r="H87" s="43"/>
      <c r="I87" s="34"/>
      <c r="J87" s="43"/>
      <c r="K87" s="34"/>
      <c r="L87" s="43"/>
      <c r="M87" s="34"/>
      <c r="N87" s="43"/>
      <c r="O87" s="34"/>
      <c r="P87" s="34"/>
      <c r="Q87" s="43"/>
      <c r="R87" s="34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9"/>
      <c r="B88" s="42"/>
      <c r="C88" s="42"/>
      <c r="D88" s="29"/>
      <c r="E88" s="42"/>
      <c r="F88" s="29"/>
      <c r="G88" s="42"/>
      <c r="H88" s="42"/>
      <c r="I88" s="29"/>
      <c r="J88" s="42"/>
      <c r="K88" s="29"/>
      <c r="L88" s="42"/>
      <c r="M88" s="29"/>
      <c r="N88" s="42"/>
      <c r="O88" s="29"/>
      <c r="P88" s="29"/>
      <c r="Q88" s="42"/>
      <c r="R88" s="29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4"/>
      <c r="B89" s="43"/>
      <c r="C89" s="43"/>
      <c r="D89" s="34"/>
      <c r="E89" s="43"/>
      <c r="F89" s="34"/>
      <c r="G89" s="43"/>
      <c r="H89" s="43"/>
      <c r="I89" s="34"/>
      <c r="J89" s="43"/>
      <c r="K89" s="34"/>
      <c r="L89" s="43"/>
      <c r="M89" s="34"/>
      <c r="N89" s="43"/>
      <c r="O89" s="34"/>
      <c r="P89" s="34"/>
      <c r="Q89" s="43"/>
      <c r="R89" s="34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9"/>
      <c r="B90" s="42"/>
      <c r="C90" s="42"/>
      <c r="D90" s="29"/>
      <c r="E90" s="42"/>
      <c r="F90" s="29"/>
      <c r="G90" s="42"/>
      <c r="H90" s="42"/>
      <c r="I90" s="29"/>
      <c r="J90" s="42"/>
      <c r="K90" s="29"/>
      <c r="L90" s="42"/>
      <c r="M90" s="29"/>
      <c r="N90" s="42"/>
      <c r="O90" s="29"/>
      <c r="P90" s="29"/>
      <c r="Q90" s="42"/>
      <c r="R90" s="29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4"/>
      <c r="B91" s="43"/>
      <c r="C91" s="43"/>
      <c r="D91" s="34"/>
      <c r="E91" s="43"/>
      <c r="F91" s="34"/>
      <c r="G91" s="43"/>
      <c r="H91" s="43"/>
      <c r="I91" s="34"/>
      <c r="J91" s="43"/>
      <c r="K91" s="34"/>
      <c r="L91" s="43"/>
      <c r="M91" s="34"/>
      <c r="N91" s="43"/>
      <c r="O91" s="34"/>
      <c r="P91" s="34"/>
      <c r="Q91" s="43"/>
      <c r="R91" s="34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9"/>
      <c r="B92" s="42"/>
      <c r="C92" s="42"/>
      <c r="D92" s="29"/>
      <c r="E92" s="42"/>
      <c r="F92" s="29"/>
      <c r="G92" s="42"/>
      <c r="H92" s="42"/>
      <c r="I92" s="29"/>
      <c r="J92" s="42"/>
      <c r="K92" s="29"/>
      <c r="L92" s="42"/>
      <c r="M92" s="29"/>
      <c r="N92" s="42"/>
      <c r="O92" s="29"/>
      <c r="P92" s="29"/>
      <c r="Q92" s="42"/>
      <c r="R92" s="29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4"/>
      <c r="B93" s="43"/>
      <c r="C93" s="43"/>
      <c r="D93" s="34"/>
      <c r="E93" s="43"/>
      <c r="F93" s="34"/>
      <c r="G93" s="43"/>
      <c r="H93" s="43"/>
      <c r="I93" s="34"/>
      <c r="J93" s="43"/>
      <c r="K93" s="34"/>
      <c r="L93" s="43"/>
      <c r="M93" s="34"/>
      <c r="N93" s="43"/>
      <c r="O93" s="34"/>
      <c r="P93" s="34"/>
      <c r="Q93" s="43"/>
      <c r="R93" s="34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9"/>
      <c r="B94" s="42"/>
      <c r="C94" s="42"/>
      <c r="D94" s="29"/>
      <c r="E94" s="42"/>
      <c r="F94" s="29"/>
      <c r="G94" s="42"/>
      <c r="H94" s="42"/>
      <c r="I94" s="29"/>
      <c r="J94" s="42"/>
      <c r="K94" s="29"/>
      <c r="L94" s="42"/>
      <c r="M94" s="29"/>
      <c r="N94" s="42"/>
      <c r="O94" s="29"/>
      <c r="P94" s="29"/>
      <c r="Q94" s="42"/>
      <c r="R94" s="29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4"/>
      <c r="B95" s="43"/>
      <c r="C95" s="43"/>
      <c r="D95" s="34"/>
      <c r="E95" s="43"/>
      <c r="F95" s="34"/>
      <c r="G95" s="43"/>
      <c r="H95" s="43"/>
      <c r="I95" s="34"/>
      <c r="J95" s="43"/>
      <c r="K95" s="34"/>
      <c r="L95" s="43"/>
      <c r="M95" s="34"/>
      <c r="N95" s="43"/>
      <c r="O95" s="34"/>
      <c r="P95" s="34"/>
      <c r="Q95" s="43"/>
      <c r="R95" s="34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9"/>
      <c r="B96" s="42"/>
      <c r="C96" s="42"/>
      <c r="D96" s="29"/>
      <c r="E96" s="42"/>
      <c r="F96" s="29"/>
      <c r="G96" s="42"/>
      <c r="H96" s="42"/>
      <c r="I96" s="29"/>
      <c r="J96" s="42"/>
      <c r="K96" s="29"/>
      <c r="L96" s="42"/>
      <c r="M96" s="29"/>
      <c r="N96" s="42"/>
      <c r="O96" s="29"/>
      <c r="P96" s="29"/>
      <c r="Q96" s="42"/>
      <c r="R96" s="29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4"/>
      <c r="B97" s="43"/>
      <c r="C97" s="43"/>
      <c r="D97" s="34"/>
      <c r="E97" s="43"/>
      <c r="F97" s="34"/>
      <c r="G97" s="43"/>
      <c r="H97" s="43"/>
      <c r="I97" s="34"/>
      <c r="J97" s="43"/>
      <c r="K97" s="34"/>
      <c r="L97" s="43"/>
      <c r="M97" s="34"/>
      <c r="N97" s="43"/>
      <c r="O97" s="34"/>
      <c r="P97" s="34"/>
      <c r="Q97" s="43"/>
      <c r="R97" s="34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9"/>
      <c r="B98" s="42"/>
      <c r="C98" s="42"/>
      <c r="D98" s="29"/>
      <c r="E98" s="42"/>
      <c r="F98" s="29"/>
      <c r="G98" s="42"/>
      <c r="H98" s="42"/>
      <c r="I98" s="29"/>
      <c r="J98" s="42"/>
      <c r="K98" s="29"/>
      <c r="L98" s="42"/>
      <c r="M98" s="29"/>
      <c r="N98" s="42"/>
      <c r="O98" s="29"/>
      <c r="P98" s="29"/>
      <c r="Q98" s="42"/>
      <c r="R98" s="29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4"/>
      <c r="B99" s="43"/>
      <c r="C99" s="43"/>
      <c r="D99" s="34"/>
      <c r="E99" s="43"/>
      <c r="F99" s="34"/>
      <c r="G99" s="43"/>
      <c r="H99" s="43"/>
      <c r="I99" s="34"/>
      <c r="J99" s="43"/>
      <c r="K99" s="34"/>
      <c r="L99" s="43"/>
      <c r="M99" s="34"/>
      <c r="N99" s="43"/>
      <c r="O99" s="34"/>
      <c r="P99" s="34"/>
      <c r="Q99" s="43"/>
      <c r="R99" s="34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9"/>
      <c r="B100" s="42"/>
      <c r="C100" s="42"/>
      <c r="D100" s="29"/>
      <c r="E100" s="42"/>
      <c r="F100" s="29"/>
      <c r="G100" s="42"/>
      <c r="H100" s="42"/>
      <c r="I100" s="29"/>
      <c r="J100" s="42"/>
      <c r="K100" s="29"/>
      <c r="L100" s="42"/>
      <c r="M100" s="29"/>
      <c r="N100" s="42"/>
      <c r="O100" s="29"/>
      <c r="P100" s="29"/>
      <c r="Q100" s="42"/>
      <c r="R100" s="29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4"/>
      <c r="B101" s="43"/>
      <c r="C101" s="43"/>
      <c r="D101" s="34"/>
      <c r="E101" s="43"/>
      <c r="F101" s="34"/>
      <c r="G101" s="43"/>
      <c r="H101" s="43"/>
      <c r="I101" s="34"/>
      <c r="J101" s="43"/>
      <c r="K101" s="34"/>
      <c r="L101" s="43"/>
      <c r="M101" s="34"/>
      <c r="N101" s="43"/>
      <c r="O101" s="34"/>
      <c r="P101" s="34"/>
      <c r="Q101" s="43"/>
      <c r="R101" s="34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9"/>
      <c r="B102" s="42"/>
      <c r="C102" s="42"/>
      <c r="D102" s="29"/>
      <c r="E102" s="42"/>
      <c r="F102" s="29"/>
      <c r="G102" s="42"/>
      <c r="H102" s="42"/>
      <c r="I102" s="29"/>
      <c r="J102" s="42"/>
      <c r="K102" s="29"/>
      <c r="L102" s="42"/>
      <c r="M102" s="29"/>
      <c r="N102" s="42"/>
      <c r="O102" s="29"/>
      <c r="P102" s="29"/>
      <c r="Q102" s="42"/>
      <c r="R102" s="29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4"/>
      <c r="B103" s="43"/>
      <c r="C103" s="43"/>
      <c r="D103" s="34"/>
      <c r="E103" s="43"/>
      <c r="F103" s="34"/>
      <c r="G103" s="43"/>
      <c r="H103" s="43"/>
      <c r="I103" s="34"/>
      <c r="J103" s="43"/>
      <c r="K103" s="34"/>
      <c r="L103" s="43"/>
      <c r="M103" s="34"/>
      <c r="N103" s="43"/>
      <c r="O103" s="34"/>
      <c r="P103" s="34"/>
      <c r="Q103" s="43"/>
      <c r="R103" s="34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9"/>
      <c r="B104" s="42"/>
      <c r="C104" s="42"/>
      <c r="D104" s="29"/>
      <c r="E104" s="42"/>
      <c r="F104" s="29"/>
      <c r="G104" s="42"/>
      <c r="H104" s="42"/>
      <c r="I104" s="29"/>
      <c r="J104" s="42"/>
      <c r="K104" s="29"/>
      <c r="L104" s="42"/>
      <c r="M104" s="29"/>
      <c r="N104" s="42"/>
      <c r="O104" s="29"/>
      <c r="P104" s="29"/>
      <c r="Q104" s="42"/>
      <c r="R104" s="29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4"/>
      <c r="B105" s="43"/>
      <c r="C105" s="43"/>
      <c r="D105" s="34"/>
      <c r="E105" s="43"/>
      <c r="F105" s="34"/>
      <c r="G105" s="43"/>
      <c r="H105" s="43"/>
      <c r="I105" s="34"/>
      <c r="J105" s="43"/>
      <c r="K105" s="34"/>
      <c r="L105" s="43"/>
      <c r="M105" s="34"/>
      <c r="N105" s="43"/>
      <c r="O105" s="34"/>
      <c r="P105" s="34"/>
      <c r="Q105" s="43"/>
      <c r="R105" s="34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9"/>
      <c r="B106" s="42"/>
      <c r="C106" s="42"/>
      <c r="D106" s="29"/>
      <c r="E106" s="42"/>
      <c r="F106" s="29"/>
      <c r="G106" s="42"/>
      <c r="H106" s="42"/>
      <c r="I106" s="29"/>
      <c r="J106" s="42"/>
      <c r="K106" s="29"/>
      <c r="L106" s="42"/>
      <c r="M106" s="29"/>
      <c r="N106" s="42"/>
      <c r="O106" s="29"/>
      <c r="P106" s="29"/>
      <c r="Q106" s="42"/>
      <c r="R106" s="29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4"/>
      <c r="B107" s="43"/>
      <c r="C107" s="43"/>
      <c r="D107" s="34"/>
      <c r="E107" s="43"/>
      <c r="F107" s="34"/>
      <c r="G107" s="43"/>
      <c r="H107" s="43"/>
      <c r="I107" s="34"/>
      <c r="J107" s="43"/>
      <c r="K107" s="34"/>
      <c r="L107" s="43"/>
      <c r="M107" s="34"/>
      <c r="N107" s="43"/>
      <c r="O107" s="34"/>
      <c r="P107" s="34"/>
      <c r="Q107" s="43"/>
      <c r="R107" s="34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9"/>
      <c r="B108" s="42"/>
      <c r="C108" s="42"/>
      <c r="D108" s="29"/>
      <c r="E108" s="42"/>
      <c r="F108" s="29"/>
      <c r="G108" s="42"/>
      <c r="H108" s="42"/>
      <c r="I108" s="29"/>
      <c r="J108" s="42"/>
      <c r="K108" s="29"/>
      <c r="L108" s="42"/>
      <c r="M108" s="29"/>
      <c r="N108" s="42"/>
      <c r="O108" s="29"/>
      <c r="P108" s="29"/>
      <c r="Q108" s="42"/>
      <c r="R108" s="29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4"/>
      <c r="B109" s="43"/>
      <c r="C109" s="43"/>
      <c r="D109" s="34"/>
      <c r="E109" s="43"/>
      <c r="F109" s="34"/>
      <c r="G109" s="43"/>
      <c r="H109" s="43"/>
      <c r="I109" s="34"/>
      <c r="J109" s="43"/>
      <c r="K109" s="34"/>
      <c r="L109" s="43"/>
      <c r="M109" s="34"/>
      <c r="N109" s="43"/>
      <c r="O109" s="34"/>
      <c r="P109" s="34"/>
      <c r="Q109" s="43"/>
      <c r="R109" s="34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9"/>
      <c r="B110" s="42"/>
      <c r="C110" s="42"/>
      <c r="D110" s="29"/>
      <c r="E110" s="42"/>
      <c r="F110" s="29"/>
      <c r="G110" s="42"/>
      <c r="H110" s="42"/>
      <c r="I110" s="29"/>
      <c r="J110" s="42"/>
      <c r="K110" s="29"/>
      <c r="L110" s="42"/>
      <c r="M110" s="29"/>
      <c r="N110" s="42"/>
      <c r="O110" s="29"/>
      <c r="P110" s="29"/>
      <c r="Q110" s="42"/>
      <c r="R110" s="29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4"/>
      <c r="B111" s="43"/>
      <c r="C111" s="43"/>
      <c r="D111" s="34"/>
      <c r="E111" s="43"/>
      <c r="F111" s="34"/>
      <c r="G111" s="43"/>
      <c r="H111" s="43"/>
      <c r="I111" s="34"/>
      <c r="J111" s="43"/>
      <c r="K111" s="34"/>
      <c r="L111" s="43"/>
      <c r="M111" s="34"/>
      <c r="N111" s="43"/>
      <c r="O111" s="34"/>
      <c r="P111" s="34"/>
      <c r="Q111" s="43"/>
      <c r="R111" s="34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9"/>
      <c r="B112" s="42"/>
      <c r="C112" s="42"/>
      <c r="D112" s="29"/>
      <c r="E112" s="42"/>
      <c r="F112" s="29"/>
      <c r="G112" s="42"/>
      <c r="H112" s="42"/>
      <c r="I112" s="29"/>
      <c r="J112" s="42"/>
      <c r="K112" s="29"/>
      <c r="L112" s="42"/>
      <c r="M112" s="29"/>
      <c r="N112" s="42"/>
      <c r="O112" s="29"/>
      <c r="P112" s="29"/>
      <c r="Q112" s="42"/>
      <c r="R112" s="29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4"/>
      <c r="B113" s="43"/>
      <c r="C113" s="43"/>
      <c r="D113" s="34"/>
      <c r="E113" s="43"/>
      <c r="F113" s="34"/>
      <c r="G113" s="43"/>
      <c r="H113" s="43"/>
      <c r="I113" s="34"/>
      <c r="J113" s="43"/>
      <c r="K113" s="34"/>
      <c r="L113" s="43"/>
      <c r="M113" s="34"/>
      <c r="N113" s="43"/>
      <c r="O113" s="34"/>
      <c r="P113" s="34"/>
      <c r="Q113" s="43"/>
      <c r="R113" s="34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9"/>
      <c r="B114" s="42"/>
      <c r="C114" s="42"/>
      <c r="D114" s="29"/>
      <c r="E114" s="42"/>
      <c r="F114" s="29"/>
      <c r="G114" s="42"/>
      <c r="H114" s="42"/>
      <c r="I114" s="29"/>
      <c r="J114" s="42"/>
      <c r="K114" s="29"/>
      <c r="L114" s="42"/>
      <c r="M114" s="29"/>
      <c r="N114" s="42"/>
      <c r="O114" s="29"/>
      <c r="P114" s="29"/>
      <c r="Q114" s="42"/>
      <c r="R114" s="29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4"/>
      <c r="B115" s="43"/>
      <c r="C115" s="43"/>
      <c r="D115" s="34"/>
      <c r="E115" s="43"/>
      <c r="F115" s="34"/>
      <c r="G115" s="43"/>
      <c r="H115" s="43"/>
      <c r="I115" s="34"/>
      <c r="J115" s="43"/>
      <c r="K115" s="34"/>
      <c r="L115" s="43"/>
      <c r="M115" s="34"/>
      <c r="N115" s="43"/>
      <c r="O115" s="34"/>
      <c r="P115" s="34"/>
      <c r="Q115" s="43"/>
      <c r="R115" s="34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B$13:$C$14"/>
  <mergeCells count="38">
    <mergeCell ref="A2:R2"/>
    <mergeCell ref="A3:R3"/>
    <mergeCell ref="A4:R4"/>
    <mergeCell ref="B6:C6"/>
    <mergeCell ref="E6:Q6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H10:I10"/>
    <mergeCell ref="D10:E10"/>
    <mergeCell ref="F10:G10"/>
    <mergeCell ref="B12:C12"/>
    <mergeCell ref="D12:E12"/>
    <mergeCell ref="F12:G12"/>
    <mergeCell ref="H12:I12"/>
    <mergeCell ref="J12:K12"/>
    <mergeCell ref="F14:G14"/>
    <mergeCell ref="H14:I14"/>
    <mergeCell ref="J14:K14"/>
    <mergeCell ref="B17:Q17"/>
    <mergeCell ref="B25:Q25"/>
    <mergeCell ref="B26:F26"/>
    <mergeCell ref="G26:J26"/>
    <mergeCell ref="K26:R26"/>
    <mergeCell ref="B59:Q59"/>
    <mergeCell ref="B13:C13"/>
    <mergeCell ref="D13:E13"/>
    <mergeCell ref="F13:G13"/>
    <mergeCell ref="H13:I13"/>
    <mergeCell ref="J13:K13"/>
    <mergeCell ref="B14:C14"/>
    <mergeCell ref="D14:E14"/>
  </mergeCells>
  <dataValidations>
    <dataValidation type="list" allowBlank="1" sqref="D6">
      <formula1>"All Months,December 2025,January 2026,February 2026,March 2026,April 2026,May 2026,June 2026,July 2026,August 2026,September 2026,October 2026,November 2026,December 2026"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36.0"/>
    <col customWidth="1" min="4" max="4" width="10.0"/>
    <col customWidth="1" min="5" max="5" width="12.0"/>
    <col customWidth="1" min="6" max="6" width="32.0"/>
    <col customWidth="1" min="7" max="7" width="10.0"/>
    <col customWidth="1" min="8" max="8" width="34.0"/>
    <col customWidth="1" min="9" max="9" width="13.0"/>
  </cols>
  <sheetData>
    <row r="1" ht="15.0" customHeight="1">
      <c r="A1" s="44" t="s">
        <v>20</v>
      </c>
      <c r="B1" s="44" t="s">
        <v>36</v>
      </c>
      <c r="C1" s="44" t="s">
        <v>37</v>
      </c>
      <c r="D1" s="44" t="s">
        <v>38</v>
      </c>
      <c r="E1" s="44" t="s">
        <v>44</v>
      </c>
      <c r="F1" s="44" t="s">
        <v>40</v>
      </c>
      <c r="G1" s="44" t="s">
        <v>45</v>
      </c>
      <c r="H1" s="44" t="s">
        <v>42</v>
      </c>
      <c r="I1" s="44" t="s">
        <v>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 t="s">
        <v>27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22</v>
      </c>
      <c r="G2" s="2" t="s">
        <v>51</v>
      </c>
      <c r="H2" s="2" t="s">
        <v>52</v>
      </c>
      <c r="I2" s="2">
        <v>16.0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 t="s">
        <v>27</v>
      </c>
      <c r="B3" s="2" t="s">
        <v>53</v>
      </c>
      <c r="C3" s="2" t="s">
        <v>48</v>
      </c>
      <c r="D3" s="2" t="s">
        <v>49</v>
      </c>
      <c r="E3" s="2" t="s">
        <v>54</v>
      </c>
      <c r="F3" s="2" t="s">
        <v>21</v>
      </c>
      <c r="G3" s="2" t="s">
        <v>51</v>
      </c>
      <c r="H3" s="2" t="s">
        <v>52</v>
      </c>
      <c r="I3" s="2">
        <v>16.0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 t="s">
        <v>27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22</v>
      </c>
      <c r="G4" s="2" t="s">
        <v>59</v>
      </c>
      <c r="H4" s="2" t="s">
        <v>60</v>
      </c>
      <c r="I4" s="2">
        <v>52.0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 t="s">
        <v>27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21</v>
      </c>
      <c r="G5" s="2" t="s">
        <v>59</v>
      </c>
      <c r="H5" s="2" t="s">
        <v>60</v>
      </c>
      <c r="I5" s="2">
        <v>45.0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 t="s">
        <v>27</v>
      </c>
      <c r="B6" s="2" t="s">
        <v>61</v>
      </c>
      <c r="C6" s="2" t="s">
        <v>62</v>
      </c>
      <c r="D6" s="2" t="s">
        <v>54</v>
      </c>
      <c r="E6" s="2" t="s">
        <v>54</v>
      </c>
      <c r="F6" s="2" t="s">
        <v>63</v>
      </c>
      <c r="G6" s="2" t="s">
        <v>51</v>
      </c>
      <c r="H6" s="2" t="s">
        <v>64</v>
      </c>
      <c r="I6" s="2">
        <v>3.0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 t="s">
        <v>27</v>
      </c>
      <c r="B7" s="2" t="s">
        <v>41</v>
      </c>
      <c r="C7" s="2" t="s">
        <v>65</v>
      </c>
      <c r="D7" s="2" t="s">
        <v>66</v>
      </c>
      <c r="E7" s="2" t="s">
        <v>66</v>
      </c>
      <c r="F7" s="2" t="s">
        <v>21</v>
      </c>
      <c r="G7" s="2" t="s">
        <v>51</v>
      </c>
      <c r="H7" s="2" t="s">
        <v>64</v>
      </c>
      <c r="I7" s="2">
        <v>3.0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 t="s">
        <v>28</v>
      </c>
      <c r="B8" s="2" t="s">
        <v>67</v>
      </c>
      <c r="C8" s="2" t="s">
        <v>68</v>
      </c>
      <c r="D8" s="2" t="s">
        <v>69</v>
      </c>
      <c r="E8" s="2" t="s">
        <v>69</v>
      </c>
      <c r="F8" s="2" t="s">
        <v>22</v>
      </c>
      <c r="G8" s="2" t="s">
        <v>51</v>
      </c>
      <c r="H8" s="2" t="s">
        <v>70</v>
      </c>
      <c r="I8" s="2">
        <v>4.0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">
        <v>28</v>
      </c>
      <c r="B9" s="2" t="s">
        <v>55</v>
      </c>
      <c r="C9" s="2" t="s">
        <v>56</v>
      </c>
      <c r="D9" s="2" t="s">
        <v>71</v>
      </c>
      <c r="E9" s="2" t="s">
        <v>58</v>
      </c>
      <c r="F9" s="2" t="s">
        <v>22</v>
      </c>
      <c r="G9" s="2" t="s">
        <v>59</v>
      </c>
      <c r="H9" s="2" t="s">
        <v>55</v>
      </c>
      <c r="I9" s="2">
        <v>156.0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">
        <v>28</v>
      </c>
      <c r="B10" s="2" t="s">
        <v>72</v>
      </c>
      <c r="C10" s="2" t="s">
        <v>73</v>
      </c>
      <c r="D10" s="2" t="s">
        <v>74</v>
      </c>
      <c r="E10" s="2" t="s">
        <v>74</v>
      </c>
      <c r="F10" s="2" t="s">
        <v>22</v>
      </c>
      <c r="G10" s="2" t="s">
        <v>51</v>
      </c>
      <c r="H10" s="2" t="s">
        <v>75</v>
      </c>
      <c r="I10" s="2">
        <v>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28</v>
      </c>
      <c r="B11" s="2" t="s">
        <v>67</v>
      </c>
      <c r="C11" s="2" t="s">
        <v>68</v>
      </c>
      <c r="D11" s="2" t="s">
        <v>76</v>
      </c>
      <c r="E11" s="2" t="s">
        <v>77</v>
      </c>
      <c r="F11" s="2" t="s">
        <v>21</v>
      </c>
      <c r="G11" s="2" t="s">
        <v>51</v>
      </c>
      <c r="H11" s="2" t="s">
        <v>78</v>
      </c>
      <c r="I11" s="2">
        <v>15.0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">
        <v>28</v>
      </c>
      <c r="B12" s="2" t="s">
        <v>55</v>
      </c>
      <c r="C12" s="2" t="s">
        <v>56</v>
      </c>
      <c r="D12" s="2" t="s">
        <v>71</v>
      </c>
      <c r="E12" s="2" t="s">
        <v>58</v>
      </c>
      <c r="F12" s="2" t="s">
        <v>21</v>
      </c>
      <c r="G12" s="2" t="s">
        <v>59</v>
      </c>
      <c r="H12" s="2" t="s">
        <v>55</v>
      </c>
      <c r="I12" s="2">
        <v>140.0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 t="s">
        <v>28</v>
      </c>
      <c r="B13" s="2" t="s">
        <v>79</v>
      </c>
      <c r="C13" s="2" t="s">
        <v>62</v>
      </c>
      <c r="D13" s="2" t="s">
        <v>80</v>
      </c>
      <c r="E13" s="2" t="s">
        <v>58</v>
      </c>
      <c r="F13" s="2" t="s">
        <v>21</v>
      </c>
      <c r="G13" s="2" t="s">
        <v>51</v>
      </c>
      <c r="H13" s="2" t="s">
        <v>81</v>
      </c>
      <c r="I13" s="2">
        <v>65.0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 t="s">
        <v>28</v>
      </c>
      <c r="B14" s="2" t="s">
        <v>82</v>
      </c>
      <c r="C14" s="2" t="s">
        <v>83</v>
      </c>
      <c r="D14" s="2" t="s">
        <v>84</v>
      </c>
      <c r="E14" s="2" t="s">
        <v>58</v>
      </c>
      <c r="F14" s="2" t="s">
        <v>21</v>
      </c>
      <c r="G14" s="2" t="s">
        <v>51</v>
      </c>
      <c r="H14" s="2" t="s">
        <v>85</v>
      </c>
      <c r="I14" s="2">
        <v>11.0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 t="s">
        <v>28</v>
      </c>
      <c r="B15" s="2" t="s">
        <v>86</v>
      </c>
      <c r="C15" s="2" t="s">
        <v>87</v>
      </c>
      <c r="D15" s="2" t="s">
        <v>80</v>
      </c>
      <c r="E15" s="2" t="s">
        <v>80</v>
      </c>
      <c r="F15" s="2" t="s">
        <v>21</v>
      </c>
      <c r="G15" s="2" t="s">
        <v>51</v>
      </c>
      <c r="H15" s="2" t="s">
        <v>88</v>
      </c>
      <c r="I15" s="2">
        <v>1.5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 t="s">
        <v>28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63</v>
      </c>
      <c r="G16" s="2" t="s">
        <v>51</v>
      </c>
      <c r="H16" s="2" t="s">
        <v>93</v>
      </c>
      <c r="I16" s="2">
        <v>50.0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 t="s">
        <v>28</v>
      </c>
      <c r="B17" s="2" t="s">
        <v>94</v>
      </c>
      <c r="C17" s="2" t="s">
        <v>68</v>
      </c>
      <c r="D17" s="2" t="s">
        <v>95</v>
      </c>
      <c r="E17" s="2" t="s">
        <v>95</v>
      </c>
      <c r="F17" s="2" t="s">
        <v>21</v>
      </c>
      <c r="G17" s="2" t="s">
        <v>51</v>
      </c>
      <c r="H17" s="2" t="s">
        <v>78</v>
      </c>
      <c r="I17" s="2">
        <v>1.5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 t="s">
        <v>29</v>
      </c>
      <c r="B18" s="2" t="s">
        <v>55</v>
      </c>
      <c r="C18" s="2" t="s">
        <v>55</v>
      </c>
      <c r="D18" s="2" t="s">
        <v>96</v>
      </c>
      <c r="E18" s="2" t="s">
        <v>58</v>
      </c>
      <c r="F18" s="2" t="s">
        <v>22</v>
      </c>
      <c r="G18" s="2" t="s">
        <v>59</v>
      </c>
      <c r="H18" s="2" t="s">
        <v>55</v>
      </c>
      <c r="I18" s="2">
        <v>104.0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 t="s">
        <v>29</v>
      </c>
      <c r="B19" s="2" t="s">
        <v>55</v>
      </c>
      <c r="C19" s="2" t="s">
        <v>55</v>
      </c>
      <c r="D19" s="2" t="s">
        <v>96</v>
      </c>
      <c r="E19" s="2" t="s">
        <v>58</v>
      </c>
      <c r="F19" s="2" t="s">
        <v>21</v>
      </c>
      <c r="G19" s="2" t="s">
        <v>59</v>
      </c>
      <c r="H19" s="2" t="s">
        <v>55</v>
      </c>
      <c r="I19" s="2">
        <v>102.0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 t="s">
        <v>29</v>
      </c>
      <c r="B20" s="2" t="s">
        <v>79</v>
      </c>
      <c r="C20" s="2" t="s">
        <v>97</v>
      </c>
      <c r="D20" s="2" t="s">
        <v>98</v>
      </c>
      <c r="E20" s="2" t="s">
        <v>58</v>
      </c>
      <c r="F20" s="2" t="s">
        <v>21</v>
      </c>
      <c r="G20" s="2" t="s">
        <v>51</v>
      </c>
      <c r="H20" s="2" t="s">
        <v>99</v>
      </c>
      <c r="I20" s="2">
        <v>36.0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29</v>
      </c>
      <c r="B21" s="2" t="s">
        <v>100</v>
      </c>
      <c r="C21" s="2" t="s">
        <v>97</v>
      </c>
      <c r="D21" s="2" t="s">
        <v>101</v>
      </c>
      <c r="E21" s="2" t="s">
        <v>39</v>
      </c>
      <c r="F21" s="2" t="s">
        <v>22</v>
      </c>
      <c r="G21" s="2" t="s">
        <v>51</v>
      </c>
      <c r="H21" s="2" t="s">
        <v>102</v>
      </c>
      <c r="I21" s="2">
        <v>8.0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30</v>
      </c>
      <c r="B22" s="2" t="s">
        <v>94</v>
      </c>
      <c r="C22" s="2" t="s">
        <v>103</v>
      </c>
      <c r="D22" s="2" t="s">
        <v>104</v>
      </c>
      <c r="E22" s="2" t="s">
        <v>58</v>
      </c>
      <c r="F22" s="2" t="s">
        <v>105</v>
      </c>
      <c r="G22" s="2" t="s">
        <v>59</v>
      </c>
      <c r="H22" s="2" t="s">
        <v>103</v>
      </c>
      <c r="I22" s="2">
        <v>6.0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30</v>
      </c>
      <c r="B23" s="2" t="s">
        <v>94</v>
      </c>
      <c r="C23" s="2" t="s">
        <v>106</v>
      </c>
      <c r="D23" s="2" t="s">
        <v>104</v>
      </c>
      <c r="E23" s="2" t="s">
        <v>107</v>
      </c>
      <c r="F23" s="2" t="s">
        <v>108</v>
      </c>
      <c r="G23" s="2" t="s">
        <v>59</v>
      </c>
      <c r="H23" s="2" t="s">
        <v>106</v>
      </c>
      <c r="I23" s="2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30</v>
      </c>
      <c r="B24" s="2" t="s">
        <v>109</v>
      </c>
      <c r="C24" s="2" t="s">
        <v>110</v>
      </c>
      <c r="D24" s="2" t="s">
        <v>107</v>
      </c>
      <c r="E24" s="2" t="s">
        <v>107</v>
      </c>
      <c r="F24" s="2" t="s">
        <v>108</v>
      </c>
      <c r="G24" s="2" t="s">
        <v>59</v>
      </c>
      <c r="H24" s="2" t="s">
        <v>111</v>
      </c>
      <c r="I24" s="2">
        <v>5.0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30</v>
      </c>
      <c r="B25" s="2" t="s">
        <v>109</v>
      </c>
      <c r="C25" s="2" t="s">
        <v>112</v>
      </c>
      <c r="D25" s="2" t="s">
        <v>107</v>
      </c>
      <c r="E25" s="2" t="s">
        <v>58</v>
      </c>
      <c r="F25" s="2" t="s">
        <v>105</v>
      </c>
      <c r="G25" s="2" t="s">
        <v>59</v>
      </c>
      <c r="H25" s="2" t="s">
        <v>112</v>
      </c>
      <c r="I25" s="2">
        <v>8.0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30</v>
      </c>
      <c r="B26" s="2" t="s">
        <v>94</v>
      </c>
      <c r="C26" s="2" t="s">
        <v>113</v>
      </c>
      <c r="D26" s="2" t="s">
        <v>107</v>
      </c>
      <c r="E26" s="2" t="s">
        <v>58</v>
      </c>
      <c r="F26" s="2" t="s">
        <v>105</v>
      </c>
      <c r="G26" s="2" t="s">
        <v>59</v>
      </c>
      <c r="H26" s="2" t="s">
        <v>113</v>
      </c>
      <c r="I26" s="2">
        <v>5.0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30</v>
      </c>
      <c r="B27" s="2" t="s">
        <v>109</v>
      </c>
      <c r="C27" s="2" t="s">
        <v>114</v>
      </c>
      <c r="D27" s="2" t="s">
        <v>107</v>
      </c>
      <c r="E27" s="2" t="s">
        <v>107</v>
      </c>
      <c r="F27" s="2" t="s">
        <v>108</v>
      </c>
      <c r="G27" s="2" t="s">
        <v>59</v>
      </c>
      <c r="H27" s="2" t="s">
        <v>114</v>
      </c>
      <c r="I27" s="2">
        <v>10.0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30</v>
      </c>
      <c r="B28" s="2" t="s">
        <v>55</v>
      </c>
      <c r="C28" s="2" t="s">
        <v>55</v>
      </c>
      <c r="D28" s="2" t="s">
        <v>104</v>
      </c>
      <c r="E28" s="2" t="s">
        <v>58</v>
      </c>
      <c r="F28" s="2" t="s">
        <v>22</v>
      </c>
      <c r="G28" s="2" t="s">
        <v>59</v>
      </c>
      <c r="H28" s="2" t="s">
        <v>55</v>
      </c>
      <c r="I28" s="2">
        <v>104.0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30</v>
      </c>
      <c r="B29" s="2" t="s">
        <v>55</v>
      </c>
      <c r="C29" s="2" t="s">
        <v>55</v>
      </c>
      <c r="D29" s="2" t="s">
        <v>104</v>
      </c>
      <c r="E29" s="2" t="s">
        <v>58</v>
      </c>
      <c r="F29" s="2" t="s">
        <v>21</v>
      </c>
      <c r="G29" s="2" t="s">
        <v>59</v>
      </c>
      <c r="H29" s="2" t="s">
        <v>55</v>
      </c>
      <c r="I29" s="2">
        <v>102.0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30</v>
      </c>
      <c r="B30" s="2" t="s">
        <v>115</v>
      </c>
      <c r="C30" s="2" t="s">
        <v>87</v>
      </c>
      <c r="D30" s="2" t="s">
        <v>116</v>
      </c>
      <c r="E30" s="2" t="s">
        <v>116</v>
      </c>
      <c r="F30" s="2" t="s">
        <v>21</v>
      </c>
      <c r="G30" s="2" t="s">
        <v>51</v>
      </c>
      <c r="H30" s="2" t="s">
        <v>117</v>
      </c>
      <c r="I30" s="2">
        <v>1.5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4</v>
      </c>
      <c r="B31" s="2" t="s">
        <v>109</v>
      </c>
      <c r="C31" s="2" t="s">
        <v>118</v>
      </c>
      <c r="D31" s="2" t="s">
        <v>119</v>
      </c>
      <c r="E31" s="2" t="s">
        <v>120</v>
      </c>
      <c r="F31" s="2" t="s">
        <v>105</v>
      </c>
      <c r="G31" s="2" t="s">
        <v>59</v>
      </c>
      <c r="H31" s="2" t="s">
        <v>103</v>
      </c>
      <c r="I31" s="2">
        <v>20.0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4</v>
      </c>
      <c r="B32" s="2" t="s">
        <v>109</v>
      </c>
      <c r="C32" s="2" t="s">
        <v>121</v>
      </c>
      <c r="D32" s="2" t="s">
        <v>122</v>
      </c>
      <c r="E32" s="2" t="s">
        <v>123</v>
      </c>
      <c r="F32" s="2" t="s">
        <v>105</v>
      </c>
      <c r="G32" s="2" t="s">
        <v>59</v>
      </c>
      <c r="H32" s="2" t="s">
        <v>103</v>
      </c>
      <c r="I32" s="2">
        <v>20.0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4</v>
      </c>
      <c r="B33" s="2" t="s">
        <v>109</v>
      </c>
      <c r="C33" s="2" t="s">
        <v>124</v>
      </c>
      <c r="D33" s="2" t="s">
        <v>122</v>
      </c>
      <c r="E33" s="2" t="s">
        <v>123</v>
      </c>
      <c r="F33" s="2" t="s">
        <v>25</v>
      </c>
      <c r="G33" s="2" t="s">
        <v>59</v>
      </c>
      <c r="H33" s="2" t="s">
        <v>103</v>
      </c>
      <c r="I33" s="2">
        <v>9.0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4</v>
      </c>
      <c r="B34" s="2" t="s">
        <v>109</v>
      </c>
      <c r="C34" s="2" t="s">
        <v>125</v>
      </c>
      <c r="D34" s="2" t="s">
        <v>122</v>
      </c>
      <c r="E34" s="2" t="s">
        <v>123</v>
      </c>
      <c r="F34" s="2" t="s">
        <v>24</v>
      </c>
      <c r="G34" s="2" t="s">
        <v>59</v>
      </c>
      <c r="H34" s="2" t="s">
        <v>103</v>
      </c>
      <c r="I34" s="2">
        <v>9.0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4</v>
      </c>
      <c r="B35" s="2" t="s">
        <v>109</v>
      </c>
      <c r="C35" s="2" t="s">
        <v>126</v>
      </c>
      <c r="D35" s="2" t="s">
        <v>127</v>
      </c>
      <c r="E35" s="2" t="s">
        <v>128</v>
      </c>
      <c r="F35" s="2" t="s">
        <v>108</v>
      </c>
      <c r="G35" s="2" t="s">
        <v>59</v>
      </c>
      <c r="H35" s="2" t="s">
        <v>126</v>
      </c>
      <c r="I35" s="2">
        <v>15.0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4</v>
      </c>
      <c r="B36" s="2" t="s">
        <v>94</v>
      </c>
      <c r="C36" s="2" t="s">
        <v>129</v>
      </c>
      <c r="D36" s="2" t="s">
        <v>130</v>
      </c>
      <c r="E36" s="2" t="s">
        <v>131</v>
      </c>
      <c r="F36" s="2" t="s">
        <v>132</v>
      </c>
      <c r="G36" s="2" t="s">
        <v>59</v>
      </c>
      <c r="H36" s="2" t="s">
        <v>113</v>
      </c>
      <c r="I36" s="2">
        <v>30.0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4</v>
      </c>
      <c r="B37" s="2" t="s">
        <v>94</v>
      </c>
      <c r="C37" s="2" t="s">
        <v>133</v>
      </c>
      <c r="D37" s="2" t="s">
        <v>134</v>
      </c>
      <c r="E37" s="2" t="s">
        <v>128</v>
      </c>
      <c r="F37" s="2" t="s">
        <v>135</v>
      </c>
      <c r="G37" s="2" t="s">
        <v>59</v>
      </c>
      <c r="H37" s="2" t="s">
        <v>113</v>
      </c>
      <c r="I37" s="2">
        <v>15.0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4</v>
      </c>
      <c r="B38" s="2" t="s">
        <v>109</v>
      </c>
      <c r="C38" s="2" t="s">
        <v>136</v>
      </c>
      <c r="D38" s="2" t="s">
        <v>122</v>
      </c>
      <c r="E38" s="2" t="s">
        <v>122</v>
      </c>
      <c r="F38" s="2" t="s">
        <v>24</v>
      </c>
      <c r="G38" s="2" t="s">
        <v>59</v>
      </c>
      <c r="H38" s="2" t="s">
        <v>114</v>
      </c>
      <c r="I38" s="2">
        <v>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4</v>
      </c>
      <c r="B39" s="2" t="s">
        <v>137</v>
      </c>
      <c r="C39" s="2" t="s">
        <v>138</v>
      </c>
      <c r="D39" s="2" t="s">
        <v>139</v>
      </c>
      <c r="E39" s="2" t="s">
        <v>139</v>
      </c>
      <c r="F39" s="2" t="s">
        <v>25</v>
      </c>
      <c r="G39" s="2" t="s">
        <v>51</v>
      </c>
      <c r="H39" s="2" t="s">
        <v>140</v>
      </c>
      <c r="I39" s="2">
        <v>1.75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4</v>
      </c>
      <c r="B40" s="2" t="s">
        <v>141</v>
      </c>
      <c r="C40" s="2" t="s">
        <v>138</v>
      </c>
      <c r="D40" s="2" t="s">
        <v>134</v>
      </c>
      <c r="E40" s="2" t="s">
        <v>134</v>
      </c>
      <c r="F40" s="2" t="s">
        <v>24</v>
      </c>
      <c r="G40" s="2" t="s">
        <v>51</v>
      </c>
      <c r="H40" s="2" t="s">
        <v>140</v>
      </c>
      <c r="I40" s="2">
        <v>1.75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4</v>
      </c>
      <c r="B41" s="2" t="s">
        <v>142</v>
      </c>
      <c r="C41" s="2" t="s">
        <v>138</v>
      </c>
      <c r="D41" s="2" t="s">
        <v>143</v>
      </c>
      <c r="E41" s="2" t="s">
        <v>143</v>
      </c>
      <c r="F41" s="2" t="s">
        <v>25</v>
      </c>
      <c r="G41" s="2" t="s">
        <v>51</v>
      </c>
      <c r="H41" s="2" t="s">
        <v>140</v>
      </c>
      <c r="I41" s="2">
        <v>0.75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4</v>
      </c>
      <c r="B42" s="2" t="s">
        <v>144</v>
      </c>
      <c r="C42" s="2" t="s">
        <v>145</v>
      </c>
      <c r="D42" s="2" t="s">
        <v>146</v>
      </c>
      <c r="E42" s="2" t="s">
        <v>146</v>
      </c>
      <c r="F42" s="2" t="s">
        <v>105</v>
      </c>
      <c r="G42" s="2" t="s">
        <v>51</v>
      </c>
      <c r="H42" s="2" t="s">
        <v>144</v>
      </c>
      <c r="I42" s="2">
        <v>1.0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4</v>
      </c>
      <c r="B43" s="2" t="s">
        <v>147</v>
      </c>
      <c r="C43" s="2" t="s">
        <v>148</v>
      </c>
      <c r="D43" s="2" t="s">
        <v>149</v>
      </c>
      <c r="E43" s="2" t="s">
        <v>149</v>
      </c>
      <c r="F43" s="2" t="s">
        <v>105</v>
      </c>
      <c r="G43" s="2" t="s">
        <v>51</v>
      </c>
      <c r="H43" s="2" t="s">
        <v>150</v>
      </c>
      <c r="I43" s="2">
        <v>0.5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4</v>
      </c>
      <c r="B44" s="2" t="s">
        <v>151</v>
      </c>
      <c r="C44" s="2" t="s">
        <v>152</v>
      </c>
      <c r="D44" s="2" t="s">
        <v>153</v>
      </c>
      <c r="E44" s="2" t="s">
        <v>153</v>
      </c>
      <c r="F44" s="2" t="s">
        <v>24</v>
      </c>
      <c r="G44" s="2" t="s">
        <v>59</v>
      </c>
      <c r="H44" s="2" t="s">
        <v>154</v>
      </c>
      <c r="I44" s="2">
        <v>2.0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4</v>
      </c>
      <c r="B45" s="2" t="s">
        <v>155</v>
      </c>
      <c r="C45" s="2" t="s">
        <v>156</v>
      </c>
      <c r="D45" s="2" t="s">
        <v>153</v>
      </c>
      <c r="E45" s="2" t="s">
        <v>153</v>
      </c>
      <c r="F45" s="2" t="s">
        <v>24</v>
      </c>
      <c r="G45" s="2" t="s">
        <v>59</v>
      </c>
      <c r="H45" s="2" t="s">
        <v>157</v>
      </c>
      <c r="I45" s="2">
        <v>2.0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4</v>
      </c>
      <c r="B46" s="2" t="s">
        <v>158</v>
      </c>
      <c r="C46" s="2" t="s">
        <v>159</v>
      </c>
      <c r="D46" s="2" t="s">
        <v>153</v>
      </c>
      <c r="E46" s="2" t="s">
        <v>153</v>
      </c>
      <c r="F46" s="2" t="s">
        <v>24</v>
      </c>
      <c r="G46" s="2" t="s">
        <v>59</v>
      </c>
      <c r="H46" s="2" t="s">
        <v>160</v>
      </c>
      <c r="I46" s="2">
        <v>15.0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4</v>
      </c>
      <c r="B47" s="2" t="s">
        <v>161</v>
      </c>
      <c r="C47" s="2" t="s">
        <v>162</v>
      </c>
      <c r="D47" s="2" t="s">
        <v>128</v>
      </c>
      <c r="E47" s="2" t="s">
        <v>128</v>
      </c>
      <c r="F47" s="2" t="s">
        <v>24</v>
      </c>
      <c r="G47" s="2" t="s">
        <v>59</v>
      </c>
      <c r="H47" s="2" t="s">
        <v>163</v>
      </c>
      <c r="I47" s="2">
        <v>2.0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4</v>
      </c>
      <c r="B48" s="2" t="s">
        <v>161</v>
      </c>
      <c r="C48" s="2" t="s">
        <v>162</v>
      </c>
      <c r="D48" s="2" t="s">
        <v>128</v>
      </c>
      <c r="E48" s="2" t="s">
        <v>128</v>
      </c>
      <c r="F48" s="2" t="s">
        <v>25</v>
      </c>
      <c r="G48" s="2" t="s">
        <v>59</v>
      </c>
      <c r="H48" s="2" t="s">
        <v>163</v>
      </c>
      <c r="I48" s="2">
        <v>2.0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4</v>
      </c>
      <c r="B49" s="2" t="s">
        <v>164</v>
      </c>
      <c r="C49" s="2" t="s">
        <v>165</v>
      </c>
      <c r="D49" s="2" t="s">
        <v>166</v>
      </c>
      <c r="E49" s="2" t="s">
        <v>166</v>
      </c>
      <c r="F49" s="2" t="s">
        <v>24</v>
      </c>
      <c r="G49" s="2" t="s">
        <v>51</v>
      </c>
      <c r="H49" s="2" t="s">
        <v>167</v>
      </c>
      <c r="I49" s="2">
        <v>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5.0" customHeight="1">
      <c r="A1" s="2" t="s">
        <v>20</v>
      </c>
      <c r="B1" s="2" t="s">
        <v>21</v>
      </c>
      <c r="C1" s="2" t="s">
        <v>22</v>
      </c>
      <c r="D1" s="2" t="s">
        <v>105</v>
      </c>
      <c r="E1" s="2" t="s">
        <v>24</v>
      </c>
      <c r="F1" s="2" t="s">
        <v>25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 t="s">
        <v>27</v>
      </c>
      <c r="B2" s="2">
        <f>IF(OR(Dashboard!$D$6="All Months",Dashboard!$D$6="December 2025"),SUMPRODUCT((Data!$A$2:$A$200="December 2025")*ISNUMBER(SEARCH("Gaurav Kumar",Data!$F$2:$F$200))*Data!$I$2:$I$200),0)</f>
        <v>0</v>
      </c>
      <c r="C2" s="2">
        <f>IF(OR(Dashboard!$D$6="All Months",Dashboard!$D$6="December 2025"),SUMPRODUCT((Data!$A$2:$A$200="December 2025")*ISNUMBER(SEARCH("Raju Vernekar",Data!$F$2:$F$200))*Data!$I$2:$I$200),0)</f>
        <v>0</v>
      </c>
      <c r="D2" s="2">
        <f>IF(OR(Dashboard!$D$6="All Months",Dashboard!$D$6="December 2025"),SUMPRODUCT((Data!$A$2:$A$200="December 2025")*ISNUMBER(SEARCH("Freeda Reshma Dsouza",Data!$F$2:$F$200))*Data!$I$2:$I$200),0)</f>
        <v>0</v>
      </c>
      <c r="E2" s="2">
        <f>IF(OR(Dashboard!$D$6="All Months",Dashboard!$D$6="December 2025"),SUMPRODUCT((Data!$A$2:$A$200="December 2025")*ISNUMBER(SEARCH("Harish Bhat",Data!$F$2:$F$200))*Data!$I$2:$I$200),0)</f>
        <v>0</v>
      </c>
      <c r="F2" s="2">
        <f>IF(OR(Dashboard!$D$6="All Months",Dashboard!$D$6="December 2025"),SUMPRODUCT((Data!$A$2:$A$200="December 2025")*ISNUMBER(SEARCH("Girish A",Data!$F$2:$F$200))*Data!$I$2:$I$200),0)</f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 t="s">
        <v>28</v>
      </c>
      <c r="B3" s="2">
        <f>IF(OR(Dashboard!$D$6="All Months",Dashboard!$D$6="January 2026"),SUMPRODUCT((Data!$A$2:$A$200="January 2026")*ISNUMBER(SEARCH("Gaurav Kumar",Data!$F$2:$F$200))*Data!$I$2:$I$200),0)</f>
        <v>0</v>
      </c>
      <c r="C3" s="2">
        <f>IF(OR(Dashboard!$D$6="All Months",Dashboard!$D$6="January 2026"),SUMPRODUCT((Data!$A$2:$A$200="January 2026")*ISNUMBER(SEARCH("Raju Vernekar",Data!$F$2:$F$200))*Data!$I$2:$I$200),0)</f>
        <v>0</v>
      </c>
      <c r="D3" s="2">
        <f>IF(OR(Dashboard!$D$6="All Months",Dashboard!$D$6="January 2026"),SUMPRODUCT((Data!$A$2:$A$200="January 2026")*ISNUMBER(SEARCH("Freeda Reshma Dsouza",Data!$F$2:$F$200))*Data!$I$2:$I$200),0)</f>
        <v>0</v>
      </c>
      <c r="E3" s="2">
        <f>IF(OR(Dashboard!$D$6="All Months",Dashboard!$D$6="January 2026"),SUMPRODUCT((Data!$A$2:$A$200="January 2026")*ISNUMBER(SEARCH("Harish Bhat",Data!$F$2:$F$200))*Data!$I$2:$I$200),0)</f>
        <v>0</v>
      </c>
      <c r="F3" s="2">
        <f>IF(OR(Dashboard!$D$6="All Months",Dashboard!$D$6="January 2026"),SUMPRODUCT((Data!$A$2:$A$200="January 2026")*ISNUMBER(SEARCH("Girish A",Data!$F$2:$F$200))*Data!$I$2:$I$200),0)</f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 t="s">
        <v>29</v>
      </c>
      <c r="B4" s="2">
        <f>IF(OR(Dashboard!$D$6="All Months",Dashboard!$D$6="February 2026"),SUMPRODUCT((Data!$A$2:$A$200="February 2026")*ISNUMBER(SEARCH("Gaurav Kumar",Data!$F$2:$F$200))*Data!$I$2:$I$200),0)</f>
        <v>0</v>
      </c>
      <c r="C4" s="2">
        <f>IF(OR(Dashboard!$D$6="All Months",Dashboard!$D$6="February 2026"),SUMPRODUCT((Data!$A$2:$A$200="February 2026")*ISNUMBER(SEARCH("Raju Vernekar",Data!$F$2:$F$200))*Data!$I$2:$I$200),0)</f>
        <v>0</v>
      </c>
      <c r="D4" s="2">
        <f>IF(OR(Dashboard!$D$6="All Months",Dashboard!$D$6="February 2026"),SUMPRODUCT((Data!$A$2:$A$200="February 2026")*ISNUMBER(SEARCH("Freeda Reshma Dsouza",Data!$F$2:$F$200))*Data!$I$2:$I$200),0)</f>
        <v>0</v>
      </c>
      <c r="E4" s="2">
        <f>IF(OR(Dashboard!$D$6="All Months",Dashboard!$D$6="February 2026"),SUMPRODUCT((Data!$A$2:$A$200="February 2026")*ISNUMBER(SEARCH("Harish Bhat",Data!$F$2:$F$200))*Data!$I$2:$I$200),0)</f>
        <v>0</v>
      </c>
      <c r="F4" s="2">
        <f>IF(OR(Dashboard!$D$6="All Months",Dashboard!$D$6="February 2026"),SUMPRODUCT((Data!$A$2:$A$200="February 2026")*ISNUMBER(SEARCH("Girish A",Data!$F$2:$F$200))*Data!$I$2:$I$200),0)</f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 t="s">
        <v>30</v>
      </c>
      <c r="B5" s="2">
        <f>IF(OR(Dashboard!$D$6="All Months",Dashboard!$D$6="March 2026"),SUMPRODUCT((Data!$A$2:$A$200="March 2026")*ISNUMBER(SEARCH("Gaurav Kumar",Data!$F$2:$F$200))*Data!$I$2:$I$200),0)</f>
        <v>0</v>
      </c>
      <c r="C5" s="2">
        <f>IF(OR(Dashboard!$D$6="All Months",Dashboard!$D$6="March 2026"),SUMPRODUCT((Data!$A$2:$A$200="March 2026")*ISNUMBER(SEARCH("Raju Vernekar",Data!$F$2:$F$200))*Data!$I$2:$I$200),0)</f>
        <v>0</v>
      </c>
      <c r="D5" s="2">
        <f>IF(OR(Dashboard!$D$6="All Months",Dashboard!$D$6="March 2026"),SUMPRODUCT((Data!$A$2:$A$200="March 2026")*ISNUMBER(SEARCH("Freeda Reshma Dsouza",Data!$F$2:$F$200))*Data!$I$2:$I$200),0)</f>
        <v>0</v>
      </c>
      <c r="E5" s="2">
        <f>IF(OR(Dashboard!$D$6="All Months",Dashboard!$D$6="March 2026"),SUMPRODUCT((Data!$A$2:$A$200="March 2026")*ISNUMBER(SEARCH("Harish Bhat",Data!$F$2:$F$200))*Data!$I$2:$I$200),0)</f>
        <v>0</v>
      </c>
      <c r="F5" s="2">
        <f>IF(OR(Dashboard!$D$6="All Months",Dashboard!$D$6="March 2026"),SUMPRODUCT((Data!$A$2:$A$200="March 2026")*ISNUMBER(SEARCH("Girish A",Data!$F$2:$F$200))*Data!$I$2:$I$200),0)</f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 t="s">
        <v>4</v>
      </c>
      <c r="B6" s="2">
        <f>IF(OR(Dashboard!$D$6="All Months",Dashboard!$D$6="April 2026"),SUMPRODUCT((Data!$A$2:$A$200="April 2026")*ISNUMBER(SEARCH("Gaurav Kumar",Data!$F$2:$F$200))*Data!$I$2:$I$200),0)</f>
        <v>0</v>
      </c>
      <c r="C6" s="2">
        <f>IF(OR(Dashboard!$D$6="All Months",Dashboard!$D$6="April 2026"),SUMPRODUCT((Data!$A$2:$A$200="April 2026")*ISNUMBER(SEARCH("Raju Vernekar",Data!$F$2:$F$200))*Data!$I$2:$I$200),0)</f>
        <v>15</v>
      </c>
      <c r="D6" s="2">
        <f>IF(OR(Dashboard!$D$6="All Months",Dashboard!$D$6="April 2026"),SUMPRODUCT((Data!$A$2:$A$200="April 2026")*ISNUMBER(SEARCH("Freeda Reshma Dsouza",Data!$F$2:$F$200))*Data!$I$2:$I$200),0)</f>
        <v>71.5</v>
      </c>
      <c r="E6" s="2">
        <f>IF(OR(Dashboard!$D$6="All Months",Dashboard!$D$6="April 2026"),SUMPRODUCT((Data!$A$2:$A$200="April 2026")*ISNUMBER(SEARCH("Harish Bhat",Data!$F$2:$F$200))*Data!$I$2:$I$200),0)</f>
        <v>102.75</v>
      </c>
      <c r="F6" s="2">
        <f>IF(OR(Dashboard!$D$6="All Months",Dashboard!$D$6="April 2026"),SUMPRODUCT((Data!$A$2:$A$200="April 2026")*ISNUMBER(SEARCH("Girish A",Data!$F$2:$F$200))*Data!$I$2:$I$200),0)</f>
        <v>73.5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">
        <v>45</v>
      </c>
      <c r="B9" s="2" t="s">
        <v>168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">
        <v>51</v>
      </c>
      <c r="B10" s="2">
        <f>IF(Dashboard!$D$6="All Months",SUMIF(Data!$G$2:$G$200,"Online",Data!$I$2:$I$200),SUMPRODUCT((Data!$A$2:$A$200=Dashboard!$D$6)*(Data!$G$2:$G$200="Online")*Data!$I$2:$I$200))</f>
        <v>8.75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59</v>
      </c>
      <c r="B11" s="2">
        <f>IF(Dashboard!$D$6="All Months",SUMIF(Data!$G$2:$G$200,"Offline",Data!$I$2:$I$200),SUMPRODUCT((Data!$A$2:$A$200=Dashboard!$D$6)*(Data!$G$2:$G$200="Offline")*Data!$I$2:$I$200))</f>
        <v>149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 t="s">
        <v>169</v>
      </c>
      <c r="B14" s="2" t="s">
        <v>168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 t="s">
        <v>53</v>
      </c>
      <c r="B15" s="2">
        <f>IF(Dashboard!$D$6="All Months",SUMIF(Data!$B$2:$B$200,"ACOP Team Refresher",Data!$I$2:$I$200),SUMPRODUCT((Data!$A$2:$A$200=Dashboard!$D$6)*(Data!$B$2:$B$200="ACOP Team Refresher")*Data!$I$2:$I$200))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 t="s">
        <v>137</v>
      </c>
      <c r="B16" s="2">
        <f>IF(Dashboard!$D$6="All Months",SUMIF(Data!$B$2:$B$200,"Accop Training",Data!$I$2:$I$200),SUMPRODUCT((Data!$A$2:$A$200=Dashboard!$D$6)*(Data!$B$2:$B$200="Accop Training")*Data!$I$2:$I$200))</f>
        <v>1.75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 t="s">
        <v>94</v>
      </c>
      <c r="B17" s="2">
        <f>IF(Dashboard!$D$6="All Months",SUMIF(Data!$B$2:$B$200,"Assessment",Data!$I$2:$I$200),SUMPRODUCT((Data!$A$2:$A$200=Dashboard!$D$6)*(Data!$B$2:$B$200="Assessment")*Data!$I$2:$I$200))</f>
        <v>45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 t="s">
        <v>72</v>
      </c>
      <c r="B18" s="2">
        <f>IF(Dashboard!$D$6="All Months",SUMIF(Data!$B$2:$B$200,"Assessments",Data!$I$2:$I$200),SUMPRODUCT((Data!$A$2:$A$200=Dashboard!$D$6)*(Data!$B$2:$B$200="Assessments")*Data!$I$2:$I$200))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 t="s">
        <v>86</v>
      </c>
      <c r="B19" s="2">
        <f>IF(Dashboard!$D$6="All Months",SUMIF(Data!$B$2:$B$200,"Content Team Session",Data!$I$2:$I$200),SUMPRODUCT((Data!$A$2:$A$200=Dashboard!$D$6)*(Data!$B$2:$B$200="Content Team Session")*Data!$I$2:$I$200))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 t="s">
        <v>142</v>
      </c>
      <c r="B20" s="2">
        <f>IF(Dashboard!$D$6="All Months",SUMIF(Data!$B$2:$B$200,"Fresh Hires Training",Data!$I$2:$I$200),SUMPRODUCT((Data!$A$2:$A$200=Dashboard!$D$6)*(Data!$B$2:$B$200="Fresh Hires Training")*Data!$I$2:$I$200))</f>
        <v>0.75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161</v>
      </c>
      <c r="B21" s="2">
        <f>IF(Dashboard!$D$6="All Months",SUMIF(Data!$B$2:$B$200,"Mock Calls",Data!$I$2:$I$200),SUMPRODUCT((Data!$A$2:$A$200=Dashboard!$D$6)*(Data!$B$2:$B$200="Mock Calls")*Data!$I$2:$I$200))</f>
        <v>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141</v>
      </c>
      <c r="B22" s="2">
        <f>IF(Dashboard!$D$6="All Months",SUMIF(Data!$B$2:$B$200,"NRI Team Training",Data!$I$2:$I$200),SUMPRODUCT((Data!$A$2:$A$200=Dashboard!$D$6)*(Data!$B$2:$B$200="NRI Team Training")*Data!$I$2:$I$200))</f>
        <v>1.75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55</v>
      </c>
      <c r="B23" s="2">
        <f>IF(Dashboard!$D$6="All Months",SUMIF(Data!$B$2:$B$200,"Project Maven",Data!$I$2:$I$200),SUMPRODUCT((Data!$A$2:$A$200=Dashboard!$D$6)*(Data!$B$2:$B$200="Project Maven")*Data!$I$2:$I$200))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67</v>
      </c>
      <c r="B24" s="2">
        <f>IF(Dashboard!$D$6="All Months",SUMIF(Data!$B$2:$B$200,"Refresher",Data!$I$2:$I$200),SUMPRODUCT((Data!$A$2:$A$200=Dashboard!$D$6)*(Data!$B$2:$B$200="Refresher")*Data!$I$2:$I$200))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79</v>
      </c>
      <c r="B25" s="2">
        <f>IF(Dashboard!$D$6="All Months",SUMIF(Data!$B$2:$B$200,"Refresher for Entire Support",Data!$I$2:$I$200),SUMPRODUCT((Data!$A$2:$A$200=Dashboard!$D$6)*(Data!$B$2:$B$200="Refresher for Entire Support")*Data!$I$2:$I$200))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82</v>
      </c>
      <c r="B26" s="2">
        <f>IF(Dashboard!$D$6="All Months",SUMIF(Data!$B$2:$B$200,"Refresher for Evening Support",Data!$I$2:$I$200),SUMPRODUCT((Data!$A$2:$A$200=Dashboard!$D$6)*(Data!$B$2:$B$200="Refresher for Evening Support")*Data!$I$2:$I$200))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100</v>
      </c>
      <c r="B27" s="2">
        <f>IF(Dashboard!$D$6="All Months",SUMIF(Data!$B$2:$B$200,"Refresher for Support",Data!$I$2:$I$200),SUMPRODUCT((Data!$A$2:$A$200=Dashboard!$D$6)*(Data!$B$2:$B$200="Refresher for Support")*Data!$I$2:$I$200))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147</v>
      </c>
      <c r="B28" s="2">
        <f>IF(Dashboard!$D$6="All Months",SUMIF(Data!$B$2:$B$200,"Self Assessment Form",Data!$I$2:$I$200),SUMPRODUCT((Data!$A$2:$A$200=Dashboard!$D$6)*(Data!$B$2:$B$200="Self Assessment Form")*Data!$I$2:$I$200))</f>
        <v>0.5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41</v>
      </c>
      <c r="B29" s="2">
        <f>IF(Dashboard!$D$6="All Months",SUMIF(Data!$B$2:$B$200,"Session",Data!$I$2:$I$200),SUMPRODUCT((Data!$A$2:$A$200=Dashboard!$D$6)*(Data!$B$2:$B$200="Session")*Data!$I$2:$I$200))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89</v>
      </c>
      <c r="B30" s="2">
        <f>IF(Dashboard!$D$6="All Months",SUMIF(Data!$B$2:$B$200,"Support Team OJT",Data!$I$2:$I$200),SUMPRODUCT((Data!$A$2:$A$200=Dashboard!$D$6)*(Data!$B$2:$B$200="Support Team OJT")*Data!$I$2:$I$200))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109</v>
      </c>
      <c r="B31" s="2">
        <f>IF(Dashboard!$D$6="All Months",SUMIF(Data!$B$2:$B$200,"Support Training",Data!$I$2:$I$200),SUMPRODUCT((Data!$A$2:$A$200=Dashboard!$D$6)*(Data!$B$2:$B$200="Support Training")*Data!$I$2:$I$200))</f>
        <v>81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47</v>
      </c>
      <c r="B32" s="2">
        <f>IF(Dashboard!$D$6="All Months",SUMIF(Data!$B$2:$B$200,"Team Refresher",Data!$I$2:$I$200),SUMPRODUCT((Data!$A$2:$A$200=Dashboard!$D$6)*(Data!$B$2:$B$200="Team Refresher")*Data!$I$2:$I$200))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164</v>
      </c>
      <c r="B33" s="2">
        <f>IF(Dashboard!$D$6="All Months",SUMIF(Data!$B$2:$B$200,"Ticket Tool Video",Data!$I$2:$I$200),SUMPRODUCT((Data!$A$2:$A$200=Dashboard!$D$6)*(Data!$B$2:$B$200="Ticket Tool Video")*Data!$I$2:$I$200))</f>
        <v>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144</v>
      </c>
      <c r="B34" s="2">
        <f>IF(Dashboard!$D$6="All Months",SUMIF(Data!$B$2:$B$200,"Training Need Analysis",Data!$I$2:$I$200),SUMPRODUCT((Data!$A$2:$A$200=Dashboard!$D$6)*(Data!$B$2:$B$200="Training Need Analysis")*Data!$I$2:$I$200))</f>
        <v>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158</v>
      </c>
      <c r="B35" s="2">
        <f>IF(Dashboard!$D$6="All Months",SUMIF(Data!$B$2:$B$200,"Varsity Backend Support",Data!$I$2:$I$200),SUMPRODUCT((Data!$A$2:$A$200=Dashboard!$D$6)*(Data!$B$2:$B$200="Varsity Backend Support")*Data!$I$2:$I$200))</f>
        <v>15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151</v>
      </c>
      <c r="B36" s="2">
        <f>IF(Dashboard!$D$6="All Months",SUMIF(Data!$B$2:$B$200,"Varsity Scripts Writing",Data!$I$2:$I$200),SUMPRODUCT((Data!$A$2:$A$200=Dashboard!$D$6)*(Data!$B$2:$B$200="Varsity Scripts Writing")*Data!$I$2:$I$200))</f>
        <v>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115</v>
      </c>
      <c r="B37" s="2">
        <f>IF(Dashboard!$D$6="All Months",SUMIF(Data!$B$2:$B$200,"Varsity Team Session",Data!$I$2:$I$200),SUMPRODUCT((Data!$A$2:$A$200=Dashboard!$D$6)*(Data!$B$2:$B$200="Varsity Team Session")*Data!$I$2:$I$200))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155</v>
      </c>
      <c r="B38" s="2">
        <f>IF(Dashboard!$D$6="All Months",SUMIF(Data!$B$2:$B$200,"Varsity Video Shoot",Data!$I$2:$I$200),SUMPRODUCT((Data!$A$2:$A$200=Dashboard!$D$6)*(Data!$B$2:$B$200="Varsity Video Shoot")*Data!$I$2:$I$200))</f>
        <v>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61</v>
      </c>
      <c r="B39" s="2">
        <f>IF(Dashboard!$D$6="All Months",SUMIF(Data!$B$2:$B$200,"Webinar",Data!$I$2:$I$200),SUMPRODUCT((Data!$A$2:$A$200=Dashboard!$D$6)*(Data!$B$2:$B$200="Webinar")*Data!$I$2:$I$200))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46" t="s">
        <v>170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47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8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49" t="s">
        <v>173</v>
      </c>
      <c r="B6" s="49" t="s">
        <v>36</v>
      </c>
      <c r="C6" s="49" t="s">
        <v>37</v>
      </c>
      <c r="D6" s="49" t="s">
        <v>38</v>
      </c>
      <c r="E6" s="49" t="s">
        <v>39</v>
      </c>
      <c r="F6" s="49" t="s">
        <v>40</v>
      </c>
      <c r="G6" s="49" t="s">
        <v>41</v>
      </c>
      <c r="H6" s="49" t="s">
        <v>42</v>
      </c>
      <c r="I6" s="4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50">
        <v>1.0</v>
      </c>
      <c r="B7" s="51" t="s">
        <v>47</v>
      </c>
      <c r="C7" s="52" t="s">
        <v>48</v>
      </c>
      <c r="D7" s="53" t="s">
        <v>49</v>
      </c>
      <c r="E7" s="53" t="s">
        <v>50</v>
      </c>
      <c r="F7" s="51" t="s">
        <v>22</v>
      </c>
      <c r="G7" s="53" t="s">
        <v>51</v>
      </c>
      <c r="H7" s="52" t="s">
        <v>52</v>
      </c>
      <c r="I7" s="54">
        <v>16.0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55">
        <v>2.0</v>
      </c>
      <c r="B8" s="56" t="s">
        <v>53</v>
      </c>
      <c r="C8" s="57" t="s">
        <v>48</v>
      </c>
      <c r="D8" s="58" t="s">
        <v>49</v>
      </c>
      <c r="E8" s="58" t="s">
        <v>54</v>
      </c>
      <c r="F8" s="56" t="s">
        <v>21</v>
      </c>
      <c r="G8" s="58" t="s">
        <v>51</v>
      </c>
      <c r="H8" s="57" t="s">
        <v>52</v>
      </c>
      <c r="I8" s="59">
        <v>16.0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50">
        <v>3.0</v>
      </c>
      <c r="B9" s="51" t="s">
        <v>55</v>
      </c>
      <c r="C9" s="52" t="s">
        <v>56</v>
      </c>
      <c r="D9" s="53" t="s">
        <v>57</v>
      </c>
      <c r="E9" s="53" t="s">
        <v>58</v>
      </c>
      <c r="F9" s="51" t="s">
        <v>22</v>
      </c>
      <c r="G9" s="53" t="s">
        <v>59</v>
      </c>
      <c r="H9" s="52" t="s">
        <v>60</v>
      </c>
      <c r="I9" s="54">
        <v>52.0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55">
        <v>4.0</v>
      </c>
      <c r="B10" s="56" t="s">
        <v>55</v>
      </c>
      <c r="C10" s="57" t="s">
        <v>56</v>
      </c>
      <c r="D10" s="58" t="s">
        <v>57</v>
      </c>
      <c r="E10" s="58" t="s">
        <v>58</v>
      </c>
      <c r="F10" s="56" t="s">
        <v>21</v>
      </c>
      <c r="G10" s="58" t="s">
        <v>59</v>
      </c>
      <c r="H10" s="57" t="s">
        <v>60</v>
      </c>
      <c r="I10" s="59">
        <v>45.0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50">
        <v>5.0</v>
      </c>
      <c r="B11" s="51" t="s">
        <v>61</v>
      </c>
      <c r="C11" s="52" t="s">
        <v>62</v>
      </c>
      <c r="D11" s="53" t="s">
        <v>54</v>
      </c>
      <c r="E11" s="53" t="s">
        <v>54</v>
      </c>
      <c r="F11" s="51" t="s">
        <v>63</v>
      </c>
      <c r="G11" s="53" t="s">
        <v>51</v>
      </c>
      <c r="H11" s="52" t="s">
        <v>64</v>
      </c>
      <c r="I11" s="54">
        <v>3.0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55">
        <v>6.0</v>
      </c>
      <c r="B12" s="56" t="s">
        <v>41</v>
      </c>
      <c r="C12" s="57" t="s">
        <v>65</v>
      </c>
      <c r="D12" s="58" t="s">
        <v>66</v>
      </c>
      <c r="E12" s="58" t="s">
        <v>66</v>
      </c>
      <c r="F12" s="56" t="s">
        <v>21</v>
      </c>
      <c r="G12" s="58" t="s">
        <v>51</v>
      </c>
      <c r="H12" s="57" t="s">
        <v>64</v>
      </c>
      <c r="I12" s="59">
        <v>3.0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60" t="s">
        <v>174</v>
      </c>
      <c r="B13" s="4"/>
      <c r="C13" s="4"/>
      <c r="D13" s="4"/>
      <c r="E13" s="4"/>
      <c r="F13" s="4"/>
      <c r="G13" s="4"/>
      <c r="H13" s="5"/>
      <c r="I13" s="61">
        <f>SUM(I7:I12)</f>
        <v>135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I2"/>
    <mergeCell ref="A3:I3"/>
    <mergeCell ref="A4:I4"/>
    <mergeCell ref="A13:H1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4731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62" t="s">
        <v>175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63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4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65" t="s">
        <v>173</v>
      </c>
      <c r="B6" s="65" t="s">
        <v>36</v>
      </c>
      <c r="C6" s="65" t="s">
        <v>37</v>
      </c>
      <c r="D6" s="65" t="s">
        <v>38</v>
      </c>
      <c r="E6" s="65" t="s">
        <v>39</v>
      </c>
      <c r="F6" s="65" t="s">
        <v>40</v>
      </c>
      <c r="G6" s="65" t="s">
        <v>41</v>
      </c>
      <c r="H6" s="65" t="s">
        <v>42</v>
      </c>
      <c r="I6" s="65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50">
        <v>1.0</v>
      </c>
      <c r="B7" s="51" t="s">
        <v>67</v>
      </c>
      <c r="C7" s="52" t="s">
        <v>68</v>
      </c>
      <c r="D7" s="53" t="s">
        <v>69</v>
      </c>
      <c r="E7" s="53" t="s">
        <v>69</v>
      </c>
      <c r="F7" s="51" t="s">
        <v>22</v>
      </c>
      <c r="G7" s="53" t="s">
        <v>51</v>
      </c>
      <c r="H7" s="52" t="s">
        <v>70</v>
      </c>
      <c r="I7" s="66">
        <v>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55">
        <v>2.0</v>
      </c>
      <c r="B8" s="56" t="s">
        <v>55</v>
      </c>
      <c r="C8" s="57" t="s">
        <v>56</v>
      </c>
      <c r="D8" s="58" t="s">
        <v>71</v>
      </c>
      <c r="E8" s="58" t="s">
        <v>58</v>
      </c>
      <c r="F8" s="56" t="s">
        <v>22</v>
      </c>
      <c r="G8" s="58" t="s">
        <v>59</v>
      </c>
      <c r="H8" s="57" t="s">
        <v>55</v>
      </c>
      <c r="I8" s="67">
        <v>156.0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50">
        <v>3.0</v>
      </c>
      <c r="B9" s="51" t="s">
        <v>72</v>
      </c>
      <c r="C9" s="52" t="s">
        <v>73</v>
      </c>
      <c r="D9" s="53" t="s">
        <v>74</v>
      </c>
      <c r="E9" s="53" t="s">
        <v>74</v>
      </c>
      <c r="F9" s="51" t="s">
        <v>22</v>
      </c>
      <c r="G9" s="53" t="s">
        <v>51</v>
      </c>
      <c r="H9" s="52" t="s">
        <v>75</v>
      </c>
      <c r="I9" s="66">
        <v>1.0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55">
        <v>4.0</v>
      </c>
      <c r="B10" s="56" t="s">
        <v>67</v>
      </c>
      <c r="C10" s="57" t="s">
        <v>68</v>
      </c>
      <c r="D10" s="58" t="s">
        <v>76</v>
      </c>
      <c r="E10" s="58" t="s">
        <v>77</v>
      </c>
      <c r="F10" s="56" t="s">
        <v>21</v>
      </c>
      <c r="G10" s="58" t="s">
        <v>51</v>
      </c>
      <c r="H10" s="57" t="s">
        <v>78</v>
      </c>
      <c r="I10" s="67">
        <v>15.0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50">
        <v>5.0</v>
      </c>
      <c r="B11" s="51" t="s">
        <v>55</v>
      </c>
      <c r="C11" s="52" t="s">
        <v>56</v>
      </c>
      <c r="D11" s="53" t="s">
        <v>71</v>
      </c>
      <c r="E11" s="53" t="s">
        <v>58</v>
      </c>
      <c r="F11" s="51" t="s">
        <v>21</v>
      </c>
      <c r="G11" s="53" t="s">
        <v>59</v>
      </c>
      <c r="H11" s="52" t="s">
        <v>55</v>
      </c>
      <c r="I11" s="66">
        <v>140.0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55">
        <v>6.0</v>
      </c>
      <c r="B12" s="56" t="s">
        <v>79</v>
      </c>
      <c r="C12" s="57" t="s">
        <v>62</v>
      </c>
      <c r="D12" s="58" t="s">
        <v>80</v>
      </c>
      <c r="E12" s="58" t="s">
        <v>58</v>
      </c>
      <c r="F12" s="56" t="s">
        <v>21</v>
      </c>
      <c r="G12" s="58" t="s">
        <v>51</v>
      </c>
      <c r="H12" s="57" t="s">
        <v>81</v>
      </c>
      <c r="I12" s="67">
        <v>65.0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50">
        <v>7.0</v>
      </c>
      <c r="B13" s="51" t="s">
        <v>82</v>
      </c>
      <c r="C13" s="52" t="s">
        <v>83</v>
      </c>
      <c r="D13" s="53" t="s">
        <v>84</v>
      </c>
      <c r="E13" s="53" t="s">
        <v>58</v>
      </c>
      <c r="F13" s="51" t="s">
        <v>21</v>
      </c>
      <c r="G13" s="53" t="s">
        <v>51</v>
      </c>
      <c r="H13" s="52" t="s">
        <v>85</v>
      </c>
      <c r="I13" s="66">
        <v>11.0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55">
        <v>8.0</v>
      </c>
      <c r="B14" s="56" t="s">
        <v>86</v>
      </c>
      <c r="C14" s="57" t="s">
        <v>87</v>
      </c>
      <c r="D14" s="58" t="s">
        <v>80</v>
      </c>
      <c r="E14" s="58" t="s">
        <v>80</v>
      </c>
      <c r="F14" s="56" t="s">
        <v>21</v>
      </c>
      <c r="G14" s="58" t="s">
        <v>51</v>
      </c>
      <c r="H14" s="57" t="s">
        <v>88</v>
      </c>
      <c r="I14" s="67">
        <v>1.5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50">
        <v>9.0</v>
      </c>
      <c r="B15" s="51" t="s">
        <v>89</v>
      </c>
      <c r="C15" s="52" t="s">
        <v>90</v>
      </c>
      <c r="D15" s="53" t="s">
        <v>91</v>
      </c>
      <c r="E15" s="53" t="s">
        <v>92</v>
      </c>
      <c r="F15" s="51" t="s">
        <v>63</v>
      </c>
      <c r="G15" s="53" t="s">
        <v>51</v>
      </c>
      <c r="H15" s="52" t="s">
        <v>93</v>
      </c>
      <c r="I15" s="66">
        <v>50.0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55">
        <v>10.0</v>
      </c>
      <c r="B16" s="56" t="s">
        <v>94</v>
      </c>
      <c r="C16" s="57" t="s">
        <v>68</v>
      </c>
      <c r="D16" s="58" t="s">
        <v>95</v>
      </c>
      <c r="E16" s="58" t="s">
        <v>95</v>
      </c>
      <c r="F16" s="56" t="s">
        <v>21</v>
      </c>
      <c r="G16" s="58" t="s">
        <v>51</v>
      </c>
      <c r="H16" s="57" t="s">
        <v>78</v>
      </c>
      <c r="I16" s="67">
        <v>1.5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68" t="s">
        <v>174</v>
      </c>
      <c r="B17" s="4"/>
      <c r="C17" s="4"/>
      <c r="D17" s="4"/>
      <c r="E17" s="4"/>
      <c r="F17" s="4"/>
      <c r="G17" s="4"/>
      <c r="H17" s="5"/>
      <c r="I17" s="69">
        <f>SUM(I7:I16)</f>
        <v>445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I2"/>
    <mergeCell ref="A3:I3"/>
    <mergeCell ref="A4:I4"/>
    <mergeCell ref="A17:H1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D95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70" t="s">
        <v>176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71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2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73" t="s">
        <v>173</v>
      </c>
      <c r="B6" s="73" t="s">
        <v>36</v>
      </c>
      <c r="C6" s="73" t="s">
        <v>37</v>
      </c>
      <c r="D6" s="73" t="s">
        <v>38</v>
      </c>
      <c r="E6" s="73" t="s">
        <v>39</v>
      </c>
      <c r="F6" s="73" t="s">
        <v>40</v>
      </c>
      <c r="G6" s="73" t="s">
        <v>41</v>
      </c>
      <c r="H6" s="73" t="s">
        <v>42</v>
      </c>
      <c r="I6" s="73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50">
        <v>1.0</v>
      </c>
      <c r="B7" s="51" t="s">
        <v>55</v>
      </c>
      <c r="C7" s="52" t="s">
        <v>55</v>
      </c>
      <c r="D7" s="53" t="s">
        <v>96</v>
      </c>
      <c r="E7" s="53" t="s">
        <v>58</v>
      </c>
      <c r="F7" s="51" t="s">
        <v>22</v>
      </c>
      <c r="G7" s="53" t="s">
        <v>59</v>
      </c>
      <c r="H7" s="52" t="s">
        <v>55</v>
      </c>
      <c r="I7" s="74">
        <v>104.0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55">
        <v>2.0</v>
      </c>
      <c r="B8" s="56" t="s">
        <v>55</v>
      </c>
      <c r="C8" s="57" t="s">
        <v>55</v>
      </c>
      <c r="D8" s="58" t="s">
        <v>96</v>
      </c>
      <c r="E8" s="58" t="s">
        <v>58</v>
      </c>
      <c r="F8" s="56" t="s">
        <v>21</v>
      </c>
      <c r="G8" s="58" t="s">
        <v>59</v>
      </c>
      <c r="H8" s="57" t="s">
        <v>55</v>
      </c>
      <c r="I8" s="75">
        <v>102.0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50">
        <v>3.0</v>
      </c>
      <c r="B9" s="51" t="s">
        <v>79</v>
      </c>
      <c r="C9" s="52" t="s">
        <v>97</v>
      </c>
      <c r="D9" s="53" t="s">
        <v>98</v>
      </c>
      <c r="E9" s="53" t="s">
        <v>58</v>
      </c>
      <c r="F9" s="51" t="s">
        <v>21</v>
      </c>
      <c r="G9" s="53" t="s">
        <v>51</v>
      </c>
      <c r="H9" s="52" t="s">
        <v>99</v>
      </c>
      <c r="I9" s="74">
        <v>36.0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55">
        <v>4.0</v>
      </c>
      <c r="B10" s="56" t="s">
        <v>100</v>
      </c>
      <c r="C10" s="57" t="s">
        <v>97</v>
      </c>
      <c r="D10" s="58" t="s">
        <v>101</v>
      </c>
      <c r="E10" s="58" t="s">
        <v>39</v>
      </c>
      <c r="F10" s="56" t="s">
        <v>22</v>
      </c>
      <c r="G10" s="58" t="s">
        <v>51</v>
      </c>
      <c r="H10" s="57" t="s">
        <v>102</v>
      </c>
      <c r="I10" s="75">
        <v>8.0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76" t="s">
        <v>174</v>
      </c>
      <c r="B11" s="4"/>
      <c r="C11" s="4"/>
      <c r="D11" s="4"/>
      <c r="E11" s="4"/>
      <c r="F11" s="4"/>
      <c r="G11" s="4"/>
      <c r="H11" s="5"/>
      <c r="I11" s="77">
        <f>SUM(I7:I10)</f>
        <v>250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I2"/>
    <mergeCell ref="A3:I3"/>
    <mergeCell ref="A4:I4"/>
    <mergeCell ref="A11:H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2D12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78" t="s">
        <v>177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79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0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81" t="s">
        <v>173</v>
      </c>
      <c r="B6" s="81" t="s">
        <v>36</v>
      </c>
      <c r="C6" s="81" t="s">
        <v>37</v>
      </c>
      <c r="D6" s="81" t="s">
        <v>38</v>
      </c>
      <c r="E6" s="81" t="s">
        <v>39</v>
      </c>
      <c r="F6" s="81" t="s">
        <v>40</v>
      </c>
      <c r="G6" s="81" t="s">
        <v>41</v>
      </c>
      <c r="H6" s="81" t="s">
        <v>42</v>
      </c>
      <c r="I6" s="81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50">
        <v>1.0</v>
      </c>
      <c r="B7" s="51" t="s">
        <v>94</v>
      </c>
      <c r="C7" s="52" t="s">
        <v>103</v>
      </c>
      <c r="D7" s="53" t="s">
        <v>104</v>
      </c>
      <c r="E7" s="53" t="s">
        <v>58</v>
      </c>
      <c r="F7" s="51" t="s">
        <v>105</v>
      </c>
      <c r="G7" s="53" t="s">
        <v>59</v>
      </c>
      <c r="H7" s="52" t="s">
        <v>103</v>
      </c>
      <c r="I7" s="82">
        <v>6.0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55">
        <v>2.0</v>
      </c>
      <c r="B8" s="56" t="s">
        <v>94</v>
      </c>
      <c r="C8" s="57" t="s">
        <v>106</v>
      </c>
      <c r="D8" s="58" t="s">
        <v>104</v>
      </c>
      <c r="E8" s="58" t="s">
        <v>107</v>
      </c>
      <c r="F8" s="56" t="s">
        <v>108</v>
      </c>
      <c r="G8" s="58" t="s">
        <v>59</v>
      </c>
      <c r="H8" s="57" t="s">
        <v>106</v>
      </c>
      <c r="I8" s="83">
        <v>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50">
        <v>3.0</v>
      </c>
      <c r="B9" s="51" t="s">
        <v>109</v>
      </c>
      <c r="C9" s="52" t="s">
        <v>110</v>
      </c>
      <c r="D9" s="53" t="s">
        <v>107</v>
      </c>
      <c r="E9" s="53" t="s">
        <v>107</v>
      </c>
      <c r="F9" s="51" t="s">
        <v>108</v>
      </c>
      <c r="G9" s="53" t="s">
        <v>59</v>
      </c>
      <c r="H9" s="52" t="s">
        <v>111</v>
      </c>
      <c r="I9" s="82">
        <v>5.0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55">
        <v>4.0</v>
      </c>
      <c r="B10" s="56" t="s">
        <v>109</v>
      </c>
      <c r="C10" s="57" t="s">
        <v>112</v>
      </c>
      <c r="D10" s="58" t="s">
        <v>107</v>
      </c>
      <c r="E10" s="58" t="s">
        <v>58</v>
      </c>
      <c r="F10" s="56" t="s">
        <v>105</v>
      </c>
      <c r="G10" s="58" t="s">
        <v>59</v>
      </c>
      <c r="H10" s="57" t="s">
        <v>112</v>
      </c>
      <c r="I10" s="83">
        <v>8.0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50">
        <v>5.0</v>
      </c>
      <c r="B11" s="51" t="s">
        <v>94</v>
      </c>
      <c r="C11" s="52" t="s">
        <v>113</v>
      </c>
      <c r="D11" s="53" t="s">
        <v>107</v>
      </c>
      <c r="E11" s="53" t="s">
        <v>58</v>
      </c>
      <c r="F11" s="51" t="s">
        <v>105</v>
      </c>
      <c r="G11" s="53" t="s">
        <v>59</v>
      </c>
      <c r="H11" s="52" t="s">
        <v>113</v>
      </c>
      <c r="I11" s="82">
        <v>5.0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55">
        <v>6.0</v>
      </c>
      <c r="B12" s="56" t="s">
        <v>109</v>
      </c>
      <c r="C12" s="57" t="s">
        <v>114</v>
      </c>
      <c r="D12" s="58" t="s">
        <v>107</v>
      </c>
      <c r="E12" s="58" t="s">
        <v>107</v>
      </c>
      <c r="F12" s="56" t="s">
        <v>108</v>
      </c>
      <c r="G12" s="58" t="s">
        <v>59</v>
      </c>
      <c r="H12" s="57" t="s">
        <v>114</v>
      </c>
      <c r="I12" s="83">
        <v>10.0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50">
        <v>7.0</v>
      </c>
      <c r="B13" s="51" t="s">
        <v>55</v>
      </c>
      <c r="C13" s="52" t="s">
        <v>55</v>
      </c>
      <c r="D13" s="53" t="s">
        <v>104</v>
      </c>
      <c r="E13" s="53" t="s">
        <v>58</v>
      </c>
      <c r="F13" s="51" t="s">
        <v>22</v>
      </c>
      <c r="G13" s="53" t="s">
        <v>59</v>
      </c>
      <c r="H13" s="52" t="s">
        <v>55</v>
      </c>
      <c r="I13" s="82">
        <v>104.0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55">
        <v>8.0</v>
      </c>
      <c r="B14" s="56" t="s">
        <v>55</v>
      </c>
      <c r="C14" s="57" t="s">
        <v>55</v>
      </c>
      <c r="D14" s="58" t="s">
        <v>104</v>
      </c>
      <c r="E14" s="58" t="s">
        <v>58</v>
      </c>
      <c r="F14" s="56" t="s">
        <v>21</v>
      </c>
      <c r="G14" s="58" t="s">
        <v>59</v>
      </c>
      <c r="H14" s="57" t="s">
        <v>55</v>
      </c>
      <c r="I14" s="83">
        <v>102.0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50">
        <v>9.0</v>
      </c>
      <c r="B15" s="51" t="s">
        <v>115</v>
      </c>
      <c r="C15" s="52" t="s">
        <v>87</v>
      </c>
      <c r="D15" s="53" t="s">
        <v>116</v>
      </c>
      <c r="E15" s="53" t="s">
        <v>116</v>
      </c>
      <c r="F15" s="51" t="s">
        <v>21</v>
      </c>
      <c r="G15" s="53" t="s">
        <v>51</v>
      </c>
      <c r="H15" s="52" t="s">
        <v>117</v>
      </c>
      <c r="I15" s="82">
        <v>1.5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84" t="s">
        <v>174</v>
      </c>
      <c r="B16" s="4"/>
      <c r="C16" s="4"/>
      <c r="D16" s="4"/>
      <c r="E16" s="4"/>
      <c r="F16" s="4"/>
      <c r="G16" s="4"/>
      <c r="H16" s="5"/>
      <c r="I16" s="85">
        <f>SUM(I7:I15)</f>
        <v>243.5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I2"/>
    <mergeCell ref="A3:I3"/>
    <mergeCell ref="A4:I4"/>
    <mergeCell ref="A16:H16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4A6E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34.86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86" t="s">
        <v>178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87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8"/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89" t="s">
        <v>173</v>
      </c>
      <c r="B6" s="89" t="s">
        <v>36</v>
      </c>
      <c r="C6" s="89" t="s">
        <v>37</v>
      </c>
      <c r="D6" s="89" t="s">
        <v>38</v>
      </c>
      <c r="E6" s="89" t="s">
        <v>39</v>
      </c>
      <c r="F6" s="89" t="s">
        <v>40</v>
      </c>
      <c r="G6" s="89" t="s">
        <v>41</v>
      </c>
      <c r="H6" s="89" t="s">
        <v>42</v>
      </c>
      <c r="I6" s="8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50">
        <v>1.0</v>
      </c>
      <c r="B7" s="51" t="s">
        <v>109</v>
      </c>
      <c r="C7" s="52" t="s">
        <v>118</v>
      </c>
      <c r="D7" s="53" t="s">
        <v>119</v>
      </c>
      <c r="E7" s="53" t="s">
        <v>120</v>
      </c>
      <c r="F7" s="51" t="s">
        <v>105</v>
      </c>
      <c r="G7" s="53" t="s">
        <v>59</v>
      </c>
      <c r="H7" s="52" t="s">
        <v>103</v>
      </c>
      <c r="I7" s="90">
        <v>20.0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55">
        <v>2.0</v>
      </c>
      <c r="B8" s="56" t="s">
        <v>109</v>
      </c>
      <c r="C8" s="57" t="s">
        <v>121</v>
      </c>
      <c r="D8" s="58" t="s">
        <v>122</v>
      </c>
      <c r="E8" s="58" t="s">
        <v>123</v>
      </c>
      <c r="F8" s="56" t="s">
        <v>105</v>
      </c>
      <c r="G8" s="58" t="s">
        <v>59</v>
      </c>
      <c r="H8" s="57" t="s">
        <v>103</v>
      </c>
      <c r="I8" s="91">
        <v>20.0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50">
        <v>3.0</v>
      </c>
      <c r="B9" s="51" t="s">
        <v>109</v>
      </c>
      <c r="C9" s="52" t="s">
        <v>124</v>
      </c>
      <c r="D9" s="53" t="s">
        <v>122</v>
      </c>
      <c r="E9" s="53" t="s">
        <v>123</v>
      </c>
      <c r="F9" s="51" t="s">
        <v>25</v>
      </c>
      <c r="G9" s="53" t="s">
        <v>59</v>
      </c>
      <c r="H9" s="52" t="s">
        <v>103</v>
      </c>
      <c r="I9" s="90">
        <v>9.0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55">
        <v>4.0</v>
      </c>
      <c r="B10" s="56" t="s">
        <v>109</v>
      </c>
      <c r="C10" s="57" t="s">
        <v>125</v>
      </c>
      <c r="D10" s="58" t="s">
        <v>122</v>
      </c>
      <c r="E10" s="58" t="s">
        <v>123</v>
      </c>
      <c r="F10" s="56" t="s">
        <v>24</v>
      </c>
      <c r="G10" s="58" t="s">
        <v>59</v>
      </c>
      <c r="H10" s="57" t="s">
        <v>103</v>
      </c>
      <c r="I10" s="91">
        <v>9.0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50">
        <v>5.0</v>
      </c>
      <c r="B11" s="51" t="s">
        <v>109</v>
      </c>
      <c r="C11" s="52" t="s">
        <v>126</v>
      </c>
      <c r="D11" s="53" t="s">
        <v>127</v>
      </c>
      <c r="E11" s="53" t="s">
        <v>128</v>
      </c>
      <c r="F11" s="51" t="s">
        <v>108</v>
      </c>
      <c r="G11" s="53" t="s">
        <v>59</v>
      </c>
      <c r="H11" s="52" t="s">
        <v>126</v>
      </c>
      <c r="I11" s="90">
        <v>15.0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55">
        <v>6.0</v>
      </c>
      <c r="B12" s="56" t="s">
        <v>94</v>
      </c>
      <c r="C12" s="57" t="s">
        <v>129</v>
      </c>
      <c r="D12" s="58" t="s">
        <v>130</v>
      </c>
      <c r="E12" s="58" t="s">
        <v>131</v>
      </c>
      <c r="F12" s="56" t="s">
        <v>132</v>
      </c>
      <c r="G12" s="58" t="s">
        <v>59</v>
      </c>
      <c r="H12" s="57" t="s">
        <v>113</v>
      </c>
      <c r="I12" s="91">
        <v>30.0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50">
        <v>7.0</v>
      </c>
      <c r="B13" s="51" t="s">
        <v>94</v>
      </c>
      <c r="C13" s="52" t="s">
        <v>133</v>
      </c>
      <c r="D13" s="53" t="s">
        <v>134</v>
      </c>
      <c r="E13" s="53" t="s">
        <v>128</v>
      </c>
      <c r="F13" s="51" t="s">
        <v>135</v>
      </c>
      <c r="G13" s="53" t="s">
        <v>59</v>
      </c>
      <c r="H13" s="52" t="s">
        <v>113</v>
      </c>
      <c r="I13" s="90">
        <v>15.0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55">
        <v>8.0</v>
      </c>
      <c r="B14" s="56" t="s">
        <v>109</v>
      </c>
      <c r="C14" s="57" t="s">
        <v>136</v>
      </c>
      <c r="D14" s="58" t="s">
        <v>122</v>
      </c>
      <c r="E14" s="58" t="s">
        <v>122</v>
      </c>
      <c r="F14" s="56" t="s">
        <v>24</v>
      </c>
      <c r="G14" s="58" t="s">
        <v>59</v>
      </c>
      <c r="H14" s="57" t="s">
        <v>114</v>
      </c>
      <c r="I14" s="91">
        <v>8.0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50">
        <v>9.0</v>
      </c>
      <c r="B15" s="51" t="s">
        <v>137</v>
      </c>
      <c r="C15" s="52" t="s">
        <v>138</v>
      </c>
      <c r="D15" s="53" t="s">
        <v>139</v>
      </c>
      <c r="E15" s="53" t="s">
        <v>139</v>
      </c>
      <c r="F15" s="51" t="s">
        <v>25</v>
      </c>
      <c r="G15" s="53" t="s">
        <v>51</v>
      </c>
      <c r="H15" s="52" t="s">
        <v>140</v>
      </c>
      <c r="I15" s="90">
        <v>1.75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55">
        <v>10.0</v>
      </c>
      <c r="B16" s="56" t="s">
        <v>141</v>
      </c>
      <c r="C16" s="57" t="s">
        <v>138</v>
      </c>
      <c r="D16" s="58" t="s">
        <v>134</v>
      </c>
      <c r="E16" s="58" t="s">
        <v>134</v>
      </c>
      <c r="F16" s="56" t="s">
        <v>24</v>
      </c>
      <c r="G16" s="58" t="s">
        <v>51</v>
      </c>
      <c r="H16" s="57" t="s">
        <v>140</v>
      </c>
      <c r="I16" s="91">
        <v>1.75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50">
        <v>11.0</v>
      </c>
      <c r="B17" s="51" t="s">
        <v>142</v>
      </c>
      <c r="C17" s="52" t="s">
        <v>138</v>
      </c>
      <c r="D17" s="53" t="s">
        <v>143</v>
      </c>
      <c r="E17" s="53" t="s">
        <v>143</v>
      </c>
      <c r="F17" s="51" t="s">
        <v>25</v>
      </c>
      <c r="G17" s="53" t="s">
        <v>51</v>
      </c>
      <c r="H17" s="52" t="s">
        <v>140</v>
      </c>
      <c r="I17" s="90">
        <v>0.75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55">
        <v>12.0</v>
      </c>
      <c r="B18" s="56" t="s">
        <v>144</v>
      </c>
      <c r="C18" s="57" t="s">
        <v>145</v>
      </c>
      <c r="D18" s="58" t="s">
        <v>146</v>
      </c>
      <c r="E18" s="58" t="s">
        <v>146</v>
      </c>
      <c r="F18" s="56" t="s">
        <v>105</v>
      </c>
      <c r="G18" s="58" t="s">
        <v>51</v>
      </c>
      <c r="H18" s="57" t="s">
        <v>144</v>
      </c>
      <c r="I18" s="91">
        <v>1.0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50">
        <v>13.0</v>
      </c>
      <c r="B19" s="51" t="s">
        <v>147</v>
      </c>
      <c r="C19" s="52" t="s">
        <v>148</v>
      </c>
      <c r="D19" s="53" t="s">
        <v>149</v>
      </c>
      <c r="E19" s="53" t="s">
        <v>149</v>
      </c>
      <c r="F19" s="51" t="s">
        <v>105</v>
      </c>
      <c r="G19" s="53" t="s">
        <v>51</v>
      </c>
      <c r="H19" s="52" t="s">
        <v>150</v>
      </c>
      <c r="I19" s="90">
        <v>0.5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55">
        <v>14.0</v>
      </c>
      <c r="B20" s="56" t="s">
        <v>151</v>
      </c>
      <c r="C20" s="57" t="s">
        <v>152</v>
      </c>
      <c r="D20" s="58" t="s">
        <v>153</v>
      </c>
      <c r="E20" s="58" t="s">
        <v>153</v>
      </c>
      <c r="F20" s="56" t="s">
        <v>24</v>
      </c>
      <c r="G20" s="58" t="s">
        <v>59</v>
      </c>
      <c r="H20" s="57" t="s">
        <v>154</v>
      </c>
      <c r="I20" s="91">
        <v>2.0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50">
        <v>15.0</v>
      </c>
      <c r="B21" s="51" t="s">
        <v>155</v>
      </c>
      <c r="C21" s="52" t="s">
        <v>156</v>
      </c>
      <c r="D21" s="53" t="s">
        <v>153</v>
      </c>
      <c r="E21" s="53" t="s">
        <v>153</v>
      </c>
      <c r="F21" s="51" t="s">
        <v>24</v>
      </c>
      <c r="G21" s="53" t="s">
        <v>59</v>
      </c>
      <c r="H21" s="52" t="s">
        <v>157</v>
      </c>
      <c r="I21" s="90">
        <v>2.0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55">
        <v>16.0</v>
      </c>
      <c r="B22" s="56" t="s">
        <v>158</v>
      </c>
      <c r="C22" s="57" t="s">
        <v>159</v>
      </c>
      <c r="D22" s="58" t="s">
        <v>153</v>
      </c>
      <c r="E22" s="58" t="s">
        <v>153</v>
      </c>
      <c r="F22" s="56" t="s">
        <v>24</v>
      </c>
      <c r="G22" s="58" t="s">
        <v>59</v>
      </c>
      <c r="H22" s="57" t="s">
        <v>160</v>
      </c>
      <c r="I22" s="91">
        <v>15.0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50">
        <v>17.0</v>
      </c>
      <c r="B23" s="51" t="s">
        <v>161</v>
      </c>
      <c r="C23" s="52" t="s">
        <v>162</v>
      </c>
      <c r="D23" s="53" t="s">
        <v>128</v>
      </c>
      <c r="E23" s="53" t="s">
        <v>128</v>
      </c>
      <c r="F23" s="51" t="s">
        <v>24</v>
      </c>
      <c r="G23" s="53" t="s">
        <v>59</v>
      </c>
      <c r="H23" s="52" t="s">
        <v>163</v>
      </c>
      <c r="I23" s="90">
        <v>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55">
        <v>18.0</v>
      </c>
      <c r="B24" s="56" t="s">
        <v>161</v>
      </c>
      <c r="C24" s="57" t="s">
        <v>162</v>
      </c>
      <c r="D24" s="58" t="s">
        <v>128</v>
      </c>
      <c r="E24" s="58" t="s">
        <v>128</v>
      </c>
      <c r="F24" s="56" t="s">
        <v>25</v>
      </c>
      <c r="G24" s="58" t="s">
        <v>59</v>
      </c>
      <c r="H24" s="57" t="s">
        <v>163</v>
      </c>
      <c r="I24" s="91">
        <v>2.0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50">
        <v>19.0</v>
      </c>
      <c r="B25" s="51" t="s">
        <v>164</v>
      </c>
      <c r="C25" s="52" t="s">
        <v>165</v>
      </c>
      <c r="D25" s="53" t="s">
        <v>166</v>
      </c>
      <c r="E25" s="53" t="s">
        <v>166</v>
      </c>
      <c r="F25" s="51" t="s">
        <v>24</v>
      </c>
      <c r="G25" s="53" t="s">
        <v>51</v>
      </c>
      <c r="H25" s="52" t="s">
        <v>167</v>
      </c>
      <c r="I25" s="90">
        <v>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92" t="s">
        <v>174</v>
      </c>
      <c r="B26" s="4"/>
      <c r="C26" s="4"/>
      <c r="D26" s="4"/>
      <c r="E26" s="4"/>
      <c r="F26" s="4"/>
      <c r="G26" s="4"/>
      <c r="H26" s="5"/>
      <c r="I26" s="93">
        <f>SUM(I7:I25)</f>
        <v>157.75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I2"/>
    <mergeCell ref="A3:I3"/>
    <mergeCell ref="A4:I4"/>
    <mergeCell ref="A26:H2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65F46"/>
    <pageSetUpPr/>
  </sheetPr>
  <sheetViews>
    <sheetView showGridLines="0" workbookViewId="0"/>
  </sheetViews>
  <sheetFormatPr customHeight="1" defaultColWidth="14.43" defaultRowHeight="15.0"/>
  <cols>
    <col customWidth="1" min="1" max="1" width="51.14"/>
    <col customWidth="1" min="2" max="2" width="12.43"/>
    <col customWidth="1" min="3" max="3" width="12.14"/>
    <col customWidth="1" min="4" max="4" width="10.86"/>
    <col customWidth="1" min="5" max="5" width="8.86"/>
    <col customWidth="1" min="6" max="6" width="10.71"/>
    <col customWidth="1" min="7" max="7" width="6.43"/>
    <col customWidth="1" min="8" max="8" width="11.0"/>
    <col customWidth="1" min="9" max="9" width="9.0"/>
  </cols>
  <sheetData>
    <row r="1" ht="3.75" customHeight="1">
      <c r="A1" s="94"/>
      <c r="B1" s="94"/>
      <c r="C1" s="94"/>
      <c r="D1" s="94"/>
      <c r="E1" s="94"/>
      <c r="F1" s="94"/>
      <c r="G1" s="94"/>
      <c r="H1" s="94"/>
      <c r="I1" s="94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ht="45.75" customHeight="1">
      <c r="A2" s="96" t="s">
        <v>179</v>
      </c>
      <c r="B2" s="97"/>
      <c r="C2" s="97"/>
      <c r="D2" s="97"/>
      <c r="E2" s="97"/>
      <c r="F2" s="97"/>
      <c r="G2" s="97"/>
      <c r="H2" s="97"/>
      <c r="I2" s="98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ht="19.5" customHeight="1">
      <c r="A3" s="99" t="s">
        <v>171</v>
      </c>
      <c r="B3" s="97"/>
      <c r="C3" s="97"/>
      <c r="D3" s="97"/>
      <c r="E3" s="97"/>
      <c r="F3" s="97"/>
      <c r="G3" s="97"/>
      <c r="H3" s="97"/>
      <c r="I3" s="98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15.75" customHeight="1">
      <c r="A4" s="100" t="s">
        <v>172</v>
      </c>
      <c r="B4" s="97"/>
      <c r="C4" s="97"/>
      <c r="D4" s="97"/>
      <c r="E4" s="97"/>
      <c r="F4" s="97"/>
      <c r="G4" s="97"/>
      <c r="H4" s="97"/>
      <c r="I4" s="98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3.0" customHeight="1">
      <c r="A5" s="94"/>
      <c r="B5" s="94"/>
      <c r="C5" s="94"/>
      <c r="D5" s="94"/>
      <c r="E5" s="94"/>
      <c r="F5" s="94"/>
      <c r="G5" s="94"/>
      <c r="H5" s="94"/>
      <c r="I5" s="94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ht="25.5" customHeight="1">
      <c r="A6" s="101" t="s">
        <v>173</v>
      </c>
      <c r="B6" s="101" t="s">
        <v>36</v>
      </c>
      <c r="C6" s="101" t="s">
        <v>37</v>
      </c>
      <c r="D6" s="101" t="s">
        <v>38</v>
      </c>
      <c r="E6" s="101" t="s">
        <v>39</v>
      </c>
      <c r="F6" s="101" t="s">
        <v>40</v>
      </c>
      <c r="G6" s="101" t="s">
        <v>41</v>
      </c>
      <c r="H6" s="101" t="s">
        <v>42</v>
      </c>
      <c r="I6" s="101" t="s">
        <v>43</v>
      </c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ht="21.75" customHeight="1">
      <c r="A7" s="102" t="s">
        <v>180</v>
      </c>
      <c r="B7" s="97"/>
      <c r="C7" s="97"/>
      <c r="D7" s="97"/>
      <c r="E7" s="97"/>
      <c r="F7" s="97"/>
      <c r="G7" s="97"/>
      <c r="H7" s="97"/>
      <c r="I7" s="98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21.75" customHeight="1">
      <c r="A8" s="103"/>
      <c r="B8" s="104"/>
      <c r="C8" s="105"/>
      <c r="D8" s="106">
        <v>46157.0</v>
      </c>
      <c r="E8" s="107"/>
      <c r="F8" s="104"/>
      <c r="G8" s="107"/>
      <c r="H8" s="105"/>
      <c r="I8" s="108">
        <v>0.75</v>
      </c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21.75" customHeight="1">
      <c r="A9" s="109"/>
      <c r="B9" s="110"/>
      <c r="C9" s="111"/>
      <c r="D9" s="106">
        <v>46157.0</v>
      </c>
      <c r="E9" s="112"/>
      <c r="F9" s="110"/>
      <c r="G9" s="112"/>
      <c r="H9" s="111"/>
      <c r="I9" s="108">
        <v>0.75</v>
      </c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21.75" customHeight="1">
      <c r="A10" s="103"/>
      <c r="B10" s="104"/>
      <c r="C10" s="105"/>
      <c r="D10" s="106">
        <v>46160.0</v>
      </c>
      <c r="E10" s="107"/>
      <c r="F10" s="104"/>
      <c r="G10" s="107"/>
      <c r="H10" s="105"/>
      <c r="I10" s="108">
        <v>0.25</v>
      </c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21.75" customHeight="1">
      <c r="A11" s="109"/>
      <c r="B11" s="110"/>
      <c r="C11" s="111"/>
      <c r="D11" s="106">
        <v>46164.0</v>
      </c>
      <c r="E11" s="112"/>
      <c r="F11" s="110"/>
      <c r="G11" s="112"/>
      <c r="H11" s="111"/>
      <c r="I11" s="108">
        <v>1.0</v>
      </c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21.75" customHeight="1">
      <c r="A12" s="109"/>
      <c r="B12" s="110"/>
      <c r="C12" s="111"/>
      <c r="D12" s="106">
        <v>46164.0</v>
      </c>
      <c r="E12" s="112"/>
      <c r="F12" s="110"/>
      <c r="G12" s="112"/>
      <c r="H12" s="111"/>
      <c r="I12" s="108">
        <v>1.0</v>
      </c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21.75" customHeight="1">
      <c r="A13" s="103"/>
      <c r="B13" s="104"/>
      <c r="C13" s="105"/>
      <c r="D13" s="106">
        <v>46160.0</v>
      </c>
      <c r="E13" s="107"/>
      <c r="F13" s="104"/>
      <c r="G13" s="107"/>
      <c r="H13" s="105"/>
      <c r="I13" s="108">
        <v>2.5</v>
      </c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21.75" customHeight="1">
      <c r="A14" s="109"/>
      <c r="B14" s="110"/>
      <c r="C14" s="111"/>
      <c r="D14" s="106">
        <v>46150.0</v>
      </c>
      <c r="E14" s="112"/>
      <c r="F14" s="110"/>
      <c r="G14" s="112"/>
      <c r="H14" s="111"/>
      <c r="I14" s="108">
        <v>0.75</v>
      </c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21.75" customHeight="1">
      <c r="A15" s="103"/>
      <c r="B15" s="104"/>
      <c r="C15" s="105"/>
      <c r="D15" s="106">
        <v>46162.0</v>
      </c>
      <c r="E15" s="107"/>
      <c r="F15" s="104"/>
      <c r="G15" s="107"/>
      <c r="H15" s="105"/>
      <c r="I15" s="108">
        <v>1.0</v>
      </c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21.75" customHeight="1">
      <c r="A16" s="103"/>
      <c r="B16" s="104"/>
      <c r="C16" s="105"/>
      <c r="D16" s="106">
        <v>46154.0</v>
      </c>
      <c r="E16" s="107"/>
      <c r="F16" s="104"/>
      <c r="G16" s="107"/>
      <c r="H16" s="105"/>
      <c r="I16" s="108">
        <v>0.5</v>
      </c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21.75" customHeight="1">
      <c r="A17" s="109"/>
      <c r="B17" s="110"/>
      <c r="C17" s="111"/>
      <c r="D17" s="106">
        <v>46161.0</v>
      </c>
      <c r="E17" s="112"/>
      <c r="F17" s="110"/>
      <c r="G17" s="112"/>
      <c r="H17" s="111"/>
      <c r="I17" s="108">
        <v>1.5</v>
      </c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ht="21.75" customHeight="1">
      <c r="A18" s="103"/>
      <c r="B18" s="104"/>
      <c r="C18" s="105"/>
      <c r="D18" s="106">
        <v>46162.0</v>
      </c>
      <c r="E18" s="107"/>
      <c r="F18" s="104"/>
      <c r="G18" s="107"/>
      <c r="H18" s="105"/>
      <c r="I18" s="108">
        <v>1.25</v>
      </c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21.75" customHeight="1">
      <c r="A19" s="109"/>
      <c r="B19" s="110"/>
      <c r="C19" s="111"/>
      <c r="D19" s="106">
        <v>46163.0</v>
      </c>
      <c r="E19" s="112"/>
      <c r="F19" s="110"/>
      <c r="G19" s="112"/>
      <c r="H19" s="111"/>
      <c r="I19" s="108">
        <v>1.25</v>
      </c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ht="21.75" customHeight="1">
      <c r="A20" s="109"/>
      <c r="B20" s="110"/>
      <c r="C20" s="111"/>
      <c r="D20" s="106">
        <v>46146.0</v>
      </c>
      <c r="E20" s="112"/>
      <c r="F20" s="110"/>
      <c r="G20" s="112"/>
      <c r="H20" s="111"/>
      <c r="I20" s="108">
        <v>4.5</v>
      </c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21.75" customHeight="1">
      <c r="A21" s="103"/>
      <c r="B21" s="104"/>
      <c r="C21" s="105"/>
      <c r="D21" s="106">
        <v>46147.0</v>
      </c>
      <c r="E21" s="107"/>
      <c r="F21" s="104"/>
      <c r="G21" s="107"/>
      <c r="H21" s="105"/>
      <c r="I21" s="108">
        <v>4.5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27.75" customHeight="1">
      <c r="A22" s="109"/>
      <c r="B22" s="110"/>
      <c r="C22" s="111"/>
      <c r="D22" s="106">
        <v>46148.0</v>
      </c>
      <c r="E22" s="112"/>
      <c r="F22" s="110"/>
      <c r="G22" s="112"/>
      <c r="H22" s="111"/>
      <c r="I22" s="108">
        <v>3.5</v>
      </c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27.75" customHeight="1">
      <c r="A23" s="109"/>
      <c r="B23" s="110"/>
      <c r="C23" s="111"/>
      <c r="D23" s="106">
        <v>46149.0</v>
      </c>
      <c r="E23" s="112"/>
      <c r="F23" s="110"/>
      <c r="G23" s="112"/>
      <c r="H23" s="111"/>
      <c r="I23" s="108">
        <v>3.5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27.75" customHeight="1">
      <c r="A24" s="109"/>
      <c r="B24" s="110"/>
      <c r="C24" s="111"/>
      <c r="D24" s="106">
        <v>46149.0</v>
      </c>
      <c r="E24" s="112"/>
      <c r="F24" s="110"/>
      <c r="G24" s="112"/>
      <c r="H24" s="111"/>
      <c r="I24" s="108">
        <v>2.0</v>
      </c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27.75" customHeight="1">
      <c r="A25" s="109"/>
      <c r="B25" s="110"/>
      <c r="C25" s="111"/>
      <c r="D25" s="106">
        <v>46169.0</v>
      </c>
      <c r="E25" s="112"/>
      <c r="F25" s="110"/>
      <c r="G25" s="112"/>
      <c r="H25" s="111"/>
      <c r="I25" s="108">
        <v>0.5</v>
      </c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27.75" customHeight="1">
      <c r="A26" s="109"/>
      <c r="B26" s="110"/>
      <c r="C26" s="111"/>
      <c r="D26" s="106">
        <v>46162.0</v>
      </c>
      <c r="E26" s="112"/>
      <c r="F26" s="110"/>
      <c r="G26" s="112"/>
      <c r="H26" s="111"/>
      <c r="I26" s="108">
        <v>1.0</v>
      </c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27.75" customHeight="1">
      <c r="A27" s="109"/>
      <c r="B27" s="110"/>
      <c r="C27" s="111"/>
      <c r="D27" s="106">
        <v>46167.0</v>
      </c>
      <c r="E27" s="112"/>
      <c r="F27" s="110"/>
      <c r="G27" s="112"/>
      <c r="H27" s="111"/>
      <c r="I27" s="108">
        <v>1.0</v>
      </c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27.75" customHeight="1">
      <c r="A28" s="109"/>
      <c r="B28" s="110"/>
      <c r="C28" s="111"/>
      <c r="D28" s="106">
        <v>46169.0</v>
      </c>
      <c r="E28" s="112"/>
      <c r="F28" s="110"/>
      <c r="G28" s="112"/>
      <c r="H28" s="111"/>
      <c r="I28" s="108">
        <v>1.0</v>
      </c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103"/>
      <c r="B29" s="104"/>
      <c r="C29" s="105"/>
      <c r="D29" s="106">
        <v>46170.0</v>
      </c>
      <c r="E29" s="107"/>
      <c r="F29" s="104"/>
      <c r="G29" s="107"/>
      <c r="H29" s="105"/>
      <c r="I29" s="108">
        <v>3.0</v>
      </c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109"/>
      <c r="B30" s="110"/>
      <c r="C30" s="111"/>
      <c r="D30" s="106">
        <v>46160.0</v>
      </c>
      <c r="E30" s="112"/>
      <c r="F30" s="110"/>
      <c r="G30" s="112"/>
      <c r="H30" s="111"/>
      <c r="I30" s="108">
        <v>2.5</v>
      </c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103"/>
      <c r="B31" s="104"/>
      <c r="C31" s="105"/>
      <c r="D31" s="106">
        <v>46164.0</v>
      </c>
      <c r="E31" s="107"/>
      <c r="F31" s="104"/>
      <c r="G31" s="107"/>
      <c r="H31" s="105"/>
      <c r="I31" s="108">
        <v>1.0</v>
      </c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103"/>
      <c r="B32" s="104"/>
      <c r="C32" s="105"/>
      <c r="D32" s="106">
        <v>46164.0</v>
      </c>
      <c r="E32" s="107"/>
      <c r="F32" s="104"/>
      <c r="G32" s="107"/>
      <c r="H32" s="105"/>
      <c r="I32" s="108">
        <v>1.0</v>
      </c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109"/>
      <c r="B33" s="110"/>
      <c r="C33" s="111"/>
      <c r="D33" s="106">
        <v>46161.0</v>
      </c>
      <c r="E33" s="112"/>
      <c r="F33" s="110"/>
      <c r="G33" s="112"/>
      <c r="H33" s="111"/>
      <c r="I33" s="108">
        <v>6.0</v>
      </c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109"/>
      <c r="B34" s="110"/>
      <c r="C34" s="111"/>
      <c r="D34" s="106">
        <v>46155.0</v>
      </c>
      <c r="E34" s="112"/>
      <c r="F34" s="110"/>
      <c r="G34" s="112"/>
      <c r="H34" s="111"/>
      <c r="I34" s="108">
        <v>2.0</v>
      </c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109"/>
      <c r="B35" s="110"/>
      <c r="C35" s="111"/>
      <c r="D35" s="106">
        <v>46153.0</v>
      </c>
      <c r="E35" s="112"/>
      <c r="F35" s="110"/>
      <c r="G35" s="112"/>
      <c r="H35" s="111"/>
      <c r="I35" s="108">
        <v>2.0</v>
      </c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109"/>
      <c r="B36" s="110"/>
      <c r="C36" s="111"/>
      <c r="D36" s="106">
        <v>46153.0</v>
      </c>
      <c r="E36" s="112"/>
      <c r="F36" s="110"/>
      <c r="G36" s="112"/>
      <c r="H36" s="111"/>
      <c r="I36" s="108">
        <v>2.0</v>
      </c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109"/>
      <c r="B37" s="110"/>
      <c r="C37" s="111"/>
      <c r="D37" s="106">
        <v>46154.0</v>
      </c>
      <c r="E37" s="112"/>
      <c r="F37" s="110"/>
      <c r="G37" s="112"/>
      <c r="H37" s="111"/>
      <c r="I37" s="108">
        <v>1.0</v>
      </c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109"/>
      <c r="B38" s="110"/>
      <c r="C38" s="111"/>
      <c r="D38" s="106">
        <v>46156.0</v>
      </c>
      <c r="E38" s="112"/>
      <c r="F38" s="110"/>
      <c r="G38" s="112"/>
      <c r="H38" s="111"/>
      <c r="I38" s="108">
        <v>4.0</v>
      </c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109"/>
      <c r="B39" s="110"/>
      <c r="C39" s="111"/>
      <c r="D39" s="106">
        <v>46169.0</v>
      </c>
      <c r="E39" s="112"/>
      <c r="F39" s="110"/>
      <c r="G39" s="112"/>
      <c r="H39" s="111"/>
      <c r="I39" s="108">
        <v>0.5</v>
      </c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109"/>
      <c r="B40" s="110"/>
      <c r="C40" s="111"/>
      <c r="D40" s="106">
        <v>46146.0</v>
      </c>
      <c r="E40" s="112"/>
      <c r="F40" s="110"/>
      <c r="G40" s="112"/>
      <c r="H40" s="111"/>
      <c r="I40" s="108">
        <v>0.25</v>
      </c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109"/>
      <c r="B41" s="110"/>
      <c r="C41" s="111"/>
      <c r="D41" s="106">
        <v>46147.0</v>
      </c>
      <c r="E41" s="112"/>
      <c r="F41" s="110"/>
      <c r="G41" s="112"/>
      <c r="H41" s="111"/>
      <c r="I41" s="108">
        <v>0.25</v>
      </c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109"/>
      <c r="B42" s="110"/>
      <c r="C42" s="111"/>
      <c r="D42" s="106">
        <v>46148.0</v>
      </c>
      <c r="E42" s="112"/>
      <c r="F42" s="110"/>
      <c r="G42" s="112"/>
      <c r="H42" s="111"/>
      <c r="I42" s="108">
        <v>0.25</v>
      </c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109"/>
      <c r="B43" s="110"/>
      <c r="C43" s="111"/>
      <c r="D43" s="106">
        <v>46146.0</v>
      </c>
      <c r="E43" s="112"/>
      <c r="F43" s="110"/>
      <c r="G43" s="112"/>
      <c r="H43" s="111"/>
      <c r="I43" s="108">
        <v>3.0</v>
      </c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109"/>
      <c r="B44" s="110"/>
      <c r="C44" s="111"/>
      <c r="D44" s="106">
        <v>46147.0</v>
      </c>
      <c r="E44" s="112"/>
      <c r="F44" s="110"/>
      <c r="G44" s="112"/>
      <c r="H44" s="111"/>
      <c r="I44" s="108">
        <v>3.0</v>
      </c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109"/>
      <c r="B45" s="110"/>
      <c r="C45" s="111"/>
      <c r="D45" s="106">
        <v>46148.0</v>
      </c>
      <c r="E45" s="112"/>
      <c r="F45" s="110"/>
      <c r="G45" s="112"/>
      <c r="H45" s="111"/>
      <c r="I45" s="108">
        <v>2.0</v>
      </c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109"/>
      <c r="B46" s="110"/>
      <c r="C46" s="111"/>
      <c r="D46" s="106">
        <v>46150.0</v>
      </c>
      <c r="E46" s="112"/>
      <c r="F46" s="110"/>
      <c r="G46" s="112"/>
      <c r="H46" s="111"/>
      <c r="I46" s="108">
        <v>4.0</v>
      </c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109"/>
      <c r="B47" s="110"/>
      <c r="C47" s="111"/>
      <c r="D47" s="106">
        <v>46153.0</v>
      </c>
      <c r="E47" s="112"/>
      <c r="F47" s="110"/>
      <c r="G47" s="112"/>
      <c r="H47" s="111"/>
      <c r="I47" s="108">
        <v>3.0</v>
      </c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109"/>
      <c r="B48" s="110"/>
      <c r="C48" s="111"/>
      <c r="D48" s="106">
        <v>46154.0</v>
      </c>
      <c r="E48" s="112"/>
      <c r="F48" s="110"/>
      <c r="G48" s="112"/>
      <c r="H48" s="111"/>
      <c r="I48" s="108">
        <v>1.5</v>
      </c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109"/>
      <c r="B49" s="110"/>
      <c r="C49" s="111"/>
      <c r="D49" s="106">
        <v>46155.0</v>
      </c>
      <c r="E49" s="112"/>
      <c r="F49" s="110"/>
      <c r="G49" s="112"/>
      <c r="H49" s="111"/>
      <c r="I49" s="108">
        <v>3.0</v>
      </c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109"/>
      <c r="B50" s="110"/>
      <c r="C50" s="111"/>
      <c r="D50" s="106">
        <v>46156.0</v>
      </c>
      <c r="E50" s="112"/>
      <c r="F50" s="110"/>
      <c r="G50" s="112"/>
      <c r="H50" s="111"/>
      <c r="I50" s="108">
        <v>3.0</v>
      </c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109"/>
      <c r="B51" s="110"/>
      <c r="C51" s="111"/>
      <c r="D51" s="106">
        <v>46149.0</v>
      </c>
      <c r="E51" s="112"/>
      <c r="F51" s="110"/>
      <c r="G51" s="112"/>
      <c r="H51" s="111"/>
      <c r="I51" s="108">
        <v>0.25</v>
      </c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109"/>
      <c r="B52" s="110"/>
      <c r="C52" s="111"/>
      <c r="D52" s="106">
        <v>46150.0</v>
      </c>
      <c r="E52" s="112"/>
      <c r="F52" s="110"/>
      <c r="G52" s="112"/>
      <c r="H52" s="111"/>
      <c r="I52" s="108">
        <v>0.25</v>
      </c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109"/>
      <c r="B53" s="110"/>
      <c r="C53" s="111"/>
      <c r="D53" s="106">
        <v>46153.0</v>
      </c>
      <c r="E53" s="112"/>
      <c r="F53" s="110"/>
      <c r="G53" s="112"/>
      <c r="H53" s="111"/>
      <c r="I53" s="108">
        <v>0.25</v>
      </c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109"/>
      <c r="B54" s="110"/>
      <c r="C54" s="111"/>
      <c r="D54" s="106">
        <v>46154.0</v>
      </c>
      <c r="E54" s="112"/>
      <c r="F54" s="110"/>
      <c r="G54" s="112"/>
      <c r="H54" s="111"/>
      <c r="I54" s="108">
        <v>0.25</v>
      </c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109"/>
      <c r="B55" s="110"/>
      <c r="C55" s="111"/>
      <c r="D55" s="106">
        <v>46155.0</v>
      </c>
      <c r="E55" s="112"/>
      <c r="F55" s="110"/>
      <c r="G55" s="112"/>
      <c r="H55" s="111"/>
      <c r="I55" s="108">
        <v>0.25</v>
      </c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109"/>
      <c r="B56" s="110"/>
      <c r="C56" s="111"/>
      <c r="D56" s="106">
        <v>46156.0</v>
      </c>
      <c r="E56" s="112"/>
      <c r="F56" s="110"/>
      <c r="G56" s="112"/>
      <c r="H56" s="111"/>
      <c r="I56" s="108">
        <v>0.25</v>
      </c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109"/>
      <c r="B57" s="110"/>
      <c r="C57" s="111"/>
      <c r="D57" s="106">
        <v>46157.0</v>
      </c>
      <c r="E57" s="112"/>
      <c r="F57" s="110"/>
      <c r="G57" s="112"/>
      <c r="H57" s="111"/>
      <c r="I57" s="108">
        <v>0.25</v>
      </c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109"/>
      <c r="B58" s="110"/>
      <c r="C58" s="111"/>
      <c r="D58" s="106">
        <v>46160.0</v>
      </c>
      <c r="E58" s="112"/>
      <c r="F58" s="110"/>
      <c r="G58" s="112"/>
      <c r="H58" s="111"/>
      <c r="I58" s="108">
        <v>0.25</v>
      </c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109"/>
      <c r="B59" s="110"/>
      <c r="C59" s="111"/>
      <c r="D59" s="106">
        <v>46161.0</v>
      </c>
      <c r="E59" s="112"/>
      <c r="F59" s="110"/>
      <c r="G59" s="112"/>
      <c r="H59" s="111"/>
      <c r="I59" s="108">
        <v>0.25</v>
      </c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109"/>
      <c r="B60" s="110"/>
      <c r="C60" s="111"/>
      <c r="D60" s="106">
        <v>46162.0</v>
      </c>
      <c r="E60" s="112"/>
      <c r="F60" s="110"/>
      <c r="G60" s="112"/>
      <c r="H60" s="111"/>
      <c r="I60" s="108">
        <v>0.25</v>
      </c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109"/>
      <c r="B61" s="110"/>
      <c r="C61" s="111"/>
      <c r="D61" s="106">
        <v>46163.0</v>
      </c>
      <c r="E61" s="112"/>
      <c r="F61" s="110"/>
      <c r="G61" s="112"/>
      <c r="H61" s="111"/>
      <c r="I61" s="108">
        <v>0.25</v>
      </c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109"/>
      <c r="B62" s="110"/>
      <c r="C62" s="111"/>
      <c r="D62" s="106">
        <v>46164.0</v>
      </c>
      <c r="E62" s="112"/>
      <c r="F62" s="110"/>
      <c r="G62" s="112"/>
      <c r="H62" s="111"/>
      <c r="I62" s="108">
        <v>0.25</v>
      </c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109"/>
      <c r="B63" s="110"/>
      <c r="C63" s="111"/>
      <c r="D63" s="106">
        <v>46169.0</v>
      </c>
      <c r="E63" s="112"/>
      <c r="F63" s="110"/>
      <c r="G63" s="112"/>
      <c r="H63" s="111"/>
      <c r="I63" s="108">
        <v>0.25</v>
      </c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109"/>
      <c r="B64" s="110"/>
      <c r="C64" s="111"/>
      <c r="D64" s="106">
        <v>46153.0</v>
      </c>
      <c r="E64" s="112"/>
      <c r="F64" s="110"/>
      <c r="G64" s="112"/>
      <c r="H64" s="111"/>
      <c r="I64" s="108">
        <v>3.0</v>
      </c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109"/>
      <c r="B65" s="110"/>
      <c r="C65" s="111"/>
      <c r="D65" s="106">
        <v>46156.0</v>
      </c>
      <c r="E65" s="112"/>
      <c r="F65" s="110"/>
      <c r="G65" s="112"/>
      <c r="H65" s="111"/>
      <c r="I65" s="108">
        <v>2.0</v>
      </c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109"/>
      <c r="B66" s="110"/>
      <c r="C66" s="111"/>
      <c r="D66" s="106">
        <v>46160.0</v>
      </c>
      <c r="E66" s="112"/>
      <c r="F66" s="110"/>
      <c r="G66" s="112"/>
      <c r="H66" s="111"/>
      <c r="I66" s="108">
        <v>4.0</v>
      </c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109"/>
      <c r="B67" s="110"/>
      <c r="C67" s="111"/>
      <c r="D67" s="106">
        <v>46169.0</v>
      </c>
      <c r="E67" s="112"/>
      <c r="F67" s="110"/>
      <c r="G67" s="112"/>
      <c r="H67" s="111"/>
      <c r="I67" s="108">
        <v>5.0</v>
      </c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109"/>
      <c r="B68" s="110"/>
      <c r="C68" s="111"/>
      <c r="D68" s="106">
        <v>46155.0</v>
      </c>
      <c r="E68" s="112"/>
      <c r="F68" s="110"/>
      <c r="G68" s="112"/>
      <c r="H68" s="111"/>
      <c r="I68" s="108">
        <v>2.0</v>
      </c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109"/>
      <c r="B69" s="110"/>
      <c r="C69" s="111"/>
      <c r="D69" s="106">
        <v>46154.0</v>
      </c>
      <c r="E69" s="112"/>
      <c r="F69" s="110"/>
      <c r="G69" s="112"/>
      <c r="H69" s="111"/>
      <c r="I69" s="108">
        <v>3.0</v>
      </c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109"/>
      <c r="B70" s="110"/>
      <c r="C70" s="111"/>
      <c r="D70" s="106">
        <v>46156.0</v>
      </c>
      <c r="E70" s="112"/>
      <c r="F70" s="110"/>
      <c r="G70" s="112"/>
      <c r="H70" s="111"/>
      <c r="I70" s="108">
        <v>2.0</v>
      </c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109"/>
      <c r="B71" s="110"/>
      <c r="C71" s="111"/>
      <c r="D71" s="106">
        <v>46149.0</v>
      </c>
      <c r="E71" s="112"/>
      <c r="F71" s="110"/>
      <c r="G71" s="112"/>
      <c r="H71" s="111"/>
      <c r="I71" s="108">
        <v>2.0</v>
      </c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109"/>
      <c r="B72" s="110"/>
      <c r="C72" s="111"/>
      <c r="D72" s="106">
        <v>46150.0</v>
      </c>
      <c r="E72" s="112"/>
      <c r="F72" s="110"/>
      <c r="G72" s="112"/>
      <c r="H72" s="111"/>
      <c r="I72" s="108">
        <v>2.0</v>
      </c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109"/>
      <c r="B73" s="110"/>
      <c r="C73" s="111"/>
      <c r="D73" s="106">
        <v>46153.0</v>
      </c>
      <c r="E73" s="112"/>
      <c r="F73" s="110"/>
      <c r="G73" s="112"/>
      <c r="H73" s="111"/>
      <c r="I73" s="108">
        <v>3.0</v>
      </c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109"/>
      <c r="B74" s="110"/>
      <c r="C74" s="111"/>
      <c r="D74" s="106">
        <v>46156.0</v>
      </c>
      <c r="E74" s="112"/>
      <c r="F74" s="110"/>
      <c r="G74" s="112"/>
      <c r="H74" s="111"/>
      <c r="I74" s="108">
        <v>3.0</v>
      </c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109"/>
      <c r="B75" s="110"/>
      <c r="C75" s="111"/>
      <c r="D75" s="106">
        <v>46157.0</v>
      </c>
      <c r="E75" s="112"/>
      <c r="F75" s="110"/>
      <c r="G75" s="112"/>
      <c r="H75" s="111"/>
      <c r="I75" s="108">
        <v>3.0</v>
      </c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109"/>
      <c r="B76" s="110"/>
      <c r="C76" s="111"/>
      <c r="D76" s="106">
        <v>46160.0</v>
      </c>
      <c r="E76" s="112"/>
      <c r="F76" s="110"/>
      <c r="G76" s="112"/>
      <c r="H76" s="111"/>
      <c r="I76" s="108">
        <v>3.0</v>
      </c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15.75" customHeight="1">
      <c r="A77" s="109"/>
      <c r="B77" s="110"/>
      <c r="C77" s="111"/>
      <c r="D77" s="106">
        <v>46162.0</v>
      </c>
      <c r="E77" s="112"/>
      <c r="F77" s="110"/>
      <c r="G77" s="112"/>
      <c r="H77" s="111"/>
      <c r="I77" s="108">
        <v>1.0</v>
      </c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15.75" customHeight="1">
      <c r="A78" s="109"/>
      <c r="B78" s="110"/>
      <c r="C78" s="111"/>
      <c r="D78" s="106">
        <v>46168.0</v>
      </c>
      <c r="E78" s="112"/>
      <c r="F78" s="110"/>
      <c r="G78" s="112"/>
      <c r="H78" s="111"/>
      <c r="I78" s="108">
        <v>3.0</v>
      </c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15.75" customHeight="1">
      <c r="A79" s="109"/>
      <c r="B79" s="110"/>
      <c r="C79" s="111"/>
      <c r="D79" s="106">
        <v>46153.0</v>
      </c>
      <c r="E79" s="112"/>
      <c r="F79" s="110"/>
      <c r="G79" s="112"/>
      <c r="H79" s="111"/>
      <c r="I79" s="108">
        <v>3.0</v>
      </c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15.75" customHeight="1">
      <c r="A80" s="109"/>
      <c r="B80" s="110"/>
      <c r="C80" s="111"/>
      <c r="D80" s="106">
        <v>46154.0</v>
      </c>
      <c r="E80" s="112"/>
      <c r="F80" s="110"/>
      <c r="G80" s="112"/>
      <c r="H80" s="111"/>
      <c r="I80" s="108">
        <v>1.5</v>
      </c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15.75" customHeight="1">
      <c r="A81" s="109"/>
      <c r="B81" s="110"/>
      <c r="C81" s="111"/>
      <c r="D81" s="106">
        <v>46154.0</v>
      </c>
      <c r="E81" s="112"/>
      <c r="F81" s="110"/>
      <c r="G81" s="112"/>
      <c r="H81" s="111"/>
      <c r="I81" s="108">
        <v>3.0</v>
      </c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15.75" customHeight="1">
      <c r="A82" s="109"/>
      <c r="B82" s="110"/>
      <c r="C82" s="111"/>
      <c r="D82" s="106">
        <v>46155.0</v>
      </c>
      <c r="E82" s="112"/>
      <c r="F82" s="110"/>
      <c r="G82" s="112"/>
      <c r="H82" s="111"/>
      <c r="I82" s="108">
        <v>3.0</v>
      </c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15.75" customHeight="1">
      <c r="A83" s="109"/>
      <c r="B83" s="110"/>
      <c r="C83" s="111"/>
      <c r="D83" s="106">
        <v>46155.0</v>
      </c>
      <c r="E83" s="112"/>
      <c r="F83" s="110"/>
      <c r="G83" s="112"/>
      <c r="H83" s="111"/>
      <c r="I83" s="108">
        <v>2.0</v>
      </c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15.75" customHeight="1">
      <c r="A84" s="109"/>
      <c r="B84" s="110"/>
      <c r="C84" s="111"/>
      <c r="D84" s="106">
        <v>46156.0</v>
      </c>
      <c r="E84" s="112"/>
      <c r="F84" s="110"/>
      <c r="G84" s="112"/>
      <c r="H84" s="111"/>
      <c r="I84" s="108">
        <v>3.0</v>
      </c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15.75" customHeight="1">
      <c r="A85" s="109"/>
      <c r="B85" s="110"/>
      <c r="C85" s="111"/>
      <c r="D85" s="106">
        <v>46160.0</v>
      </c>
      <c r="E85" s="112"/>
      <c r="F85" s="110"/>
      <c r="G85" s="112"/>
      <c r="H85" s="111"/>
      <c r="I85" s="108">
        <v>4.0</v>
      </c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15.75" customHeight="1">
      <c r="A86" s="109"/>
      <c r="B86" s="110"/>
      <c r="C86" s="111"/>
      <c r="D86" s="106">
        <v>46161.0</v>
      </c>
      <c r="E86" s="112"/>
      <c r="F86" s="110"/>
      <c r="G86" s="112"/>
      <c r="H86" s="111"/>
      <c r="I86" s="108">
        <v>6.0</v>
      </c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15.75" customHeight="1">
      <c r="A87" s="109"/>
      <c r="B87" s="110"/>
      <c r="C87" s="111"/>
      <c r="D87" s="106">
        <v>46168.0</v>
      </c>
      <c r="E87" s="112"/>
      <c r="F87" s="110"/>
      <c r="G87" s="112"/>
      <c r="H87" s="111"/>
      <c r="I87" s="108">
        <v>5.0</v>
      </c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15.75" customHeight="1">
      <c r="A88" s="109"/>
      <c r="B88" s="110"/>
      <c r="C88" s="111"/>
      <c r="D88" s="106">
        <v>46168.0</v>
      </c>
      <c r="E88" s="112"/>
      <c r="F88" s="110"/>
      <c r="G88" s="112"/>
      <c r="H88" s="111"/>
      <c r="I88" s="108">
        <v>2.0</v>
      </c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15.75" customHeight="1">
      <c r="A89" s="109"/>
      <c r="B89" s="110"/>
      <c r="C89" s="111"/>
      <c r="D89" s="106">
        <v>46169.0</v>
      </c>
      <c r="E89" s="112"/>
      <c r="F89" s="110"/>
      <c r="G89" s="112"/>
      <c r="H89" s="111"/>
      <c r="I89" s="108">
        <v>2.0</v>
      </c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15.75" customHeight="1">
      <c r="A90" s="109"/>
      <c r="B90" s="110"/>
      <c r="C90" s="111"/>
      <c r="D90" s="106">
        <v>46171.0</v>
      </c>
      <c r="E90" s="112"/>
      <c r="F90" s="110"/>
      <c r="G90" s="112"/>
      <c r="H90" s="111"/>
      <c r="I90" s="108">
        <v>4.0</v>
      </c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15.75" customHeight="1">
      <c r="A91" s="109"/>
      <c r="B91" s="110"/>
      <c r="C91" s="111"/>
      <c r="D91" s="106">
        <v>46171.0</v>
      </c>
      <c r="E91" s="112"/>
      <c r="F91" s="110"/>
      <c r="G91" s="112"/>
      <c r="H91" s="111"/>
      <c r="I91" s="108">
        <v>2.0</v>
      </c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15.75" customHeight="1">
      <c r="A92" s="109"/>
      <c r="B92" s="110"/>
      <c r="C92" s="111"/>
      <c r="D92" s="106">
        <v>46163.0</v>
      </c>
      <c r="E92" s="112"/>
      <c r="F92" s="110"/>
      <c r="G92" s="112"/>
      <c r="H92" s="111"/>
      <c r="I92" s="108">
        <v>2.0</v>
      </c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15.75" customHeight="1">
      <c r="A93" s="109"/>
      <c r="B93" s="110"/>
      <c r="C93" s="111"/>
      <c r="D93" s="106">
        <v>46148.0</v>
      </c>
      <c r="E93" s="112"/>
      <c r="F93" s="110"/>
      <c r="G93" s="112"/>
      <c r="H93" s="111"/>
      <c r="I93" s="108">
        <v>2.0</v>
      </c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15.75" customHeight="1">
      <c r="A94" s="109"/>
      <c r="B94" s="110"/>
      <c r="C94" s="111"/>
      <c r="D94" s="106">
        <v>46147.0</v>
      </c>
      <c r="E94" s="112"/>
      <c r="F94" s="110"/>
      <c r="G94" s="112"/>
      <c r="H94" s="111"/>
      <c r="I94" s="108">
        <v>2.0</v>
      </c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15.75" customHeight="1">
      <c r="A95" s="109"/>
      <c r="B95" s="110"/>
      <c r="C95" s="111"/>
      <c r="D95" s="106">
        <v>46167.0</v>
      </c>
      <c r="E95" s="112"/>
      <c r="F95" s="110"/>
      <c r="G95" s="112"/>
      <c r="H95" s="111"/>
      <c r="I95" s="108">
        <v>2.0</v>
      </c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15.75" customHeight="1">
      <c r="A96" s="109"/>
      <c r="B96" s="110"/>
      <c r="C96" s="111"/>
      <c r="D96" s="106">
        <v>46146.0</v>
      </c>
      <c r="E96" s="112"/>
      <c r="F96" s="110"/>
      <c r="G96" s="112"/>
      <c r="H96" s="111"/>
      <c r="I96" s="108">
        <v>3.0</v>
      </c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15.75" customHeight="1">
      <c r="A97" s="109"/>
      <c r="B97" s="110"/>
      <c r="C97" s="111"/>
      <c r="D97" s="106">
        <v>46153.0</v>
      </c>
      <c r="E97" s="112"/>
      <c r="F97" s="110"/>
      <c r="G97" s="112"/>
      <c r="H97" s="111"/>
      <c r="I97" s="108">
        <v>5.0</v>
      </c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15.75" customHeight="1">
      <c r="A98" s="109"/>
      <c r="B98" s="110"/>
      <c r="C98" s="111"/>
      <c r="D98" s="106">
        <v>46154.0</v>
      </c>
      <c r="E98" s="112"/>
      <c r="F98" s="110"/>
      <c r="G98" s="112"/>
      <c r="H98" s="111"/>
      <c r="I98" s="108">
        <v>5.0</v>
      </c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15.75" customHeight="1">
      <c r="A99" s="109"/>
      <c r="B99" s="110"/>
      <c r="C99" s="111"/>
      <c r="D99" s="106">
        <v>46156.0</v>
      </c>
      <c r="E99" s="112"/>
      <c r="F99" s="110"/>
      <c r="G99" s="112"/>
      <c r="H99" s="111"/>
      <c r="I99" s="108">
        <v>5.0</v>
      </c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15.75" customHeight="1">
      <c r="A100" s="109"/>
      <c r="B100" s="110"/>
      <c r="C100" s="111"/>
      <c r="D100" s="106">
        <v>46155.0</v>
      </c>
      <c r="E100" s="112"/>
      <c r="F100" s="110"/>
      <c r="G100" s="112"/>
      <c r="H100" s="111"/>
      <c r="I100" s="108">
        <v>5.0</v>
      </c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15.75" customHeight="1">
      <c r="A101" s="109"/>
      <c r="B101" s="110"/>
      <c r="C101" s="111"/>
      <c r="D101" s="112"/>
      <c r="E101" s="112"/>
      <c r="F101" s="110"/>
      <c r="G101" s="112"/>
      <c r="H101" s="111"/>
      <c r="I101" s="113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15.75" customHeight="1">
      <c r="A102" s="109"/>
      <c r="B102" s="110"/>
      <c r="C102" s="111"/>
      <c r="D102" s="112"/>
      <c r="E102" s="112"/>
      <c r="F102" s="110"/>
      <c r="G102" s="112"/>
      <c r="H102" s="111"/>
      <c r="I102" s="113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15.75" customHeight="1">
      <c r="A103" s="109"/>
      <c r="B103" s="110"/>
      <c r="C103" s="111"/>
      <c r="D103" s="112"/>
      <c r="E103" s="112"/>
      <c r="F103" s="110"/>
      <c r="G103" s="112"/>
      <c r="H103" s="111"/>
      <c r="I103" s="113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15.75" customHeight="1">
      <c r="A104" s="109"/>
      <c r="B104" s="110"/>
      <c r="C104" s="111"/>
      <c r="D104" s="112"/>
      <c r="E104" s="112"/>
      <c r="F104" s="110"/>
      <c r="G104" s="112"/>
      <c r="H104" s="111"/>
      <c r="I104" s="113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15.75" customHeight="1">
      <c r="A105" s="109"/>
      <c r="B105" s="110"/>
      <c r="C105" s="111"/>
      <c r="D105" s="112"/>
      <c r="E105" s="112"/>
      <c r="F105" s="110"/>
      <c r="G105" s="112"/>
      <c r="H105" s="111"/>
      <c r="I105" s="113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15.75" customHeight="1">
      <c r="A106" s="109"/>
      <c r="B106" s="110"/>
      <c r="C106" s="111"/>
      <c r="D106" s="112"/>
      <c r="E106" s="112"/>
      <c r="F106" s="110"/>
      <c r="G106" s="112"/>
      <c r="H106" s="111"/>
      <c r="I106" s="113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15.75" customHeight="1">
      <c r="A107" s="109"/>
      <c r="B107" s="110"/>
      <c r="C107" s="111"/>
      <c r="D107" s="112"/>
      <c r="E107" s="112"/>
      <c r="F107" s="110"/>
      <c r="G107" s="112"/>
      <c r="H107" s="111"/>
      <c r="I107" s="113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15.75" customHeight="1">
      <c r="A108" s="109"/>
      <c r="B108" s="110"/>
      <c r="C108" s="111"/>
      <c r="D108" s="112"/>
      <c r="E108" s="112"/>
      <c r="F108" s="110"/>
      <c r="G108" s="112"/>
      <c r="H108" s="111"/>
      <c r="I108" s="113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15.75" customHeight="1">
      <c r="A109" s="109"/>
      <c r="B109" s="110"/>
      <c r="C109" s="111"/>
      <c r="D109" s="112"/>
      <c r="E109" s="112"/>
      <c r="F109" s="110"/>
      <c r="G109" s="112"/>
      <c r="H109" s="111"/>
      <c r="I109" s="113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15.75" customHeight="1">
      <c r="A110" s="109"/>
      <c r="B110" s="110"/>
      <c r="C110" s="111"/>
      <c r="D110" s="112"/>
      <c r="E110" s="112"/>
      <c r="F110" s="110"/>
      <c r="G110" s="112"/>
      <c r="H110" s="111"/>
      <c r="I110" s="113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15.75" customHeight="1">
      <c r="A111" s="109"/>
      <c r="B111" s="110"/>
      <c r="C111" s="111"/>
      <c r="D111" s="112"/>
      <c r="E111" s="112"/>
      <c r="F111" s="110"/>
      <c r="G111" s="112"/>
      <c r="H111" s="111"/>
      <c r="I111" s="113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15.75" customHeight="1">
      <c r="A112" s="114"/>
      <c r="B112" s="97"/>
      <c r="C112" s="97"/>
      <c r="D112" s="97"/>
      <c r="E112" s="97"/>
      <c r="F112" s="97"/>
      <c r="G112" s="97"/>
      <c r="H112" s="98"/>
      <c r="I112" s="115">
        <f>SUM(I8:I33)</f>
        <v>47.5</v>
      </c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  <row r="1001" ht="15.75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</row>
    <row r="1002" ht="15.75" customHeight="1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</row>
    <row r="1003" ht="15.75" customHeight="1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</row>
    <row r="1004" ht="15.75" customHeight="1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</row>
    <row r="1005" ht="15.75" customHeight="1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</row>
    <row r="1006" ht="15.75" customHeight="1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</row>
    <row r="1007" ht="15.75" customHeight="1">
      <c r="A1007" s="95"/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</row>
    <row r="1008" ht="15.75" customHeight="1">
      <c r="A1008" s="95"/>
      <c r="B1008" s="95"/>
      <c r="C1008" s="95"/>
      <c r="D1008" s="95"/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</row>
    <row r="1009" ht="15.75" customHeight="1">
      <c r="A1009" s="95"/>
      <c r="B1009" s="95"/>
      <c r="C1009" s="95"/>
      <c r="D1009" s="95"/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</row>
    <row r="1010" ht="15.75" customHeight="1">
      <c r="A1010" s="95"/>
      <c r="B1010" s="95"/>
      <c r="C1010" s="95"/>
      <c r="D1010" s="95"/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</row>
    <row r="1011" ht="15.75" customHeight="1">
      <c r="A1011" s="95"/>
      <c r="B1011" s="95"/>
      <c r="C1011" s="95"/>
      <c r="D1011" s="95"/>
      <c r="E1011" s="95"/>
      <c r="F1011" s="95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</row>
    <row r="1012" ht="15.75" customHeight="1">
      <c r="A1012" s="95"/>
      <c r="B1012" s="95"/>
      <c r="C1012" s="95"/>
      <c r="D1012" s="95"/>
      <c r="E1012" s="95"/>
      <c r="F1012" s="95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</row>
    <row r="1013" ht="15.75" customHeight="1">
      <c r="A1013" s="95"/>
      <c r="B1013" s="95"/>
      <c r="C1013" s="95"/>
      <c r="D1013" s="95"/>
      <c r="E1013" s="95"/>
      <c r="F1013" s="95"/>
      <c r="G1013" s="95"/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</row>
    <row r="1014" ht="15.75" customHeight="1">
      <c r="A1014" s="95"/>
      <c r="B1014" s="95"/>
      <c r="C1014" s="95"/>
      <c r="D1014" s="95"/>
      <c r="E1014" s="95"/>
      <c r="F1014" s="95"/>
      <c r="G1014" s="95"/>
      <c r="H1014" s="95"/>
      <c r="I1014" s="95"/>
      <c r="J1014" s="95"/>
      <c r="K1014" s="95"/>
      <c r="L1014" s="95"/>
      <c r="M1014" s="95"/>
      <c r="N1014" s="95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</row>
    <row r="1015" ht="15.75" customHeight="1">
      <c r="A1015" s="95"/>
      <c r="B1015" s="95"/>
      <c r="C1015" s="95"/>
      <c r="D1015" s="95"/>
      <c r="E1015" s="95"/>
      <c r="F1015" s="95"/>
      <c r="G1015" s="95"/>
      <c r="H1015" s="95"/>
      <c r="I1015" s="95"/>
      <c r="J1015" s="95"/>
      <c r="K1015" s="95"/>
      <c r="L1015" s="95"/>
      <c r="M1015" s="95"/>
      <c r="N1015" s="95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</row>
    <row r="1016" ht="15.75" customHeight="1">
      <c r="A1016" s="95"/>
      <c r="B1016" s="95"/>
      <c r="C1016" s="95"/>
      <c r="D1016" s="95"/>
      <c r="E1016" s="95"/>
      <c r="F1016" s="95"/>
      <c r="G1016" s="95"/>
      <c r="H1016" s="95"/>
      <c r="I1016" s="95"/>
      <c r="J1016" s="95"/>
      <c r="K1016" s="95"/>
      <c r="L1016" s="95"/>
      <c r="M1016" s="95"/>
      <c r="N1016" s="95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</row>
    <row r="1017" ht="15.75" customHeight="1">
      <c r="A1017" s="95"/>
      <c r="B1017" s="95"/>
      <c r="C1017" s="95"/>
      <c r="D1017" s="95"/>
      <c r="E1017" s="95"/>
      <c r="F1017" s="95"/>
      <c r="G1017" s="95"/>
      <c r="H1017" s="95"/>
      <c r="I1017" s="95"/>
      <c r="J1017" s="95"/>
      <c r="K1017" s="95"/>
      <c r="L1017" s="95"/>
      <c r="M1017" s="95"/>
      <c r="N1017" s="95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</row>
    <row r="1018" ht="15.75" customHeight="1">
      <c r="A1018" s="95"/>
      <c r="B1018" s="95"/>
      <c r="C1018" s="95"/>
      <c r="D1018" s="95"/>
      <c r="E1018" s="95"/>
      <c r="F1018" s="95"/>
      <c r="G1018" s="95"/>
      <c r="H1018" s="95"/>
      <c r="I1018" s="95"/>
      <c r="J1018" s="95"/>
      <c r="K1018" s="95"/>
      <c r="L1018" s="95"/>
      <c r="M1018" s="95"/>
      <c r="N1018" s="95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</row>
    <row r="1019" ht="15.75" customHeight="1">
      <c r="A1019" s="95"/>
      <c r="B1019" s="95"/>
      <c r="C1019" s="95"/>
      <c r="D1019" s="95"/>
      <c r="E1019" s="95"/>
      <c r="F1019" s="95"/>
      <c r="G1019" s="95"/>
      <c r="H1019" s="95"/>
      <c r="I1019" s="95"/>
      <c r="J1019" s="95"/>
      <c r="K1019" s="95"/>
      <c r="L1019" s="95"/>
      <c r="M1019" s="95"/>
      <c r="N1019" s="95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</row>
    <row r="1020" ht="15.75" customHeight="1">
      <c r="A1020" s="95"/>
      <c r="B1020" s="95"/>
      <c r="C1020" s="95"/>
      <c r="D1020" s="95"/>
      <c r="E1020" s="95"/>
      <c r="F1020" s="95"/>
      <c r="G1020" s="95"/>
      <c r="H1020" s="95"/>
      <c r="I1020" s="95"/>
      <c r="J1020" s="95"/>
      <c r="K1020" s="95"/>
      <c r="L1020" s="95"/>
      <c r="M1020" s="95"/>
      <c r="N1020" s="95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</row>
    <row r="1021" ht="15.75" customHeight="1">
      <c r="A1021" s="95"/>
      <c r="B1021" s="95"/>
      <c r="C1021" s="95"/>
      <c r="D1021" s="95"/>
      <c r="E1021" s="95"/>
      <c r="F1021" s="95"/>
      <c r="G1021" s="95"/>
      <c r="H1021" s="95"/>
      <c r="I1021" s="95"/>
      <c r="J1021" s="95"/>
      <c r="K1021" s="95"/>
      <c r="L1021" s="95"/>
      <c r="M1021" s="95"/>
      <c r="N1021" s="95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</row>
    <row r="1022" ht="15.75" customHeight="1">
      <c r="A1022" s="95"/>
      <c r="B1022" s="95"/>
      <c r="C1022" s="95"/>
      <c r="D1022" s="95"/>
      <c r="E1022" s="95"/>
      <c r="F1022" s="95"/>
      <c r="G1022" s="95"/>
      <c r="H1022" s="95"/>
      <c r="I1022" s="95"/>
      <c r="J1022" s="95"/>
      <c r="K1022" s="95"/>
      <c r="L1022" s="95"/>
      <c r="M1022" s="95"/>
      <c r="N1022" s="95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</row>
    <row r="1023" ht="15.75" customHeight="1">
      <c r="A1023" s="95"/>
      <c r="B1023" s="95"/>
      <c r="C1023" s="95"/>
      <c r="D1023" s="95"/>
      <c r="E1023" s="95"/>
      <c r="F1023" s="95"/>
      <c r="G1023" s="95"/>
      <c r="H1023" s="95"/>
      <c r="I1023" s="95"/>
      <c r="J1023" s="95"/>
      <c r="K1023" s="95"/>
      <c r="L1023" s="95"/>
      <c r="M1023" s="95"/>
      <c r="N1023" s="95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</row>
    <row r="1024" ht="15.75" customHeight="1">
      <c r="A1024" s="95"/>
      <c r="B1024" s="95"/>
      <c r="C1024" s="95"/>
      <c r="D1024" s="95"/>
      <c r="E1024" s="95"/>
      <c r="F1024" s="95"/>
      <c r="G1024" s="95"/>
      <c r="H1024" s="95"/>
      <c r="I1024" s="95"/>
      <c r="J1024" s="95"/>
      <c r="K1024" s="95"/>
      <c r="L1024" s="95"/>
      <c r="M1024" s="95"/>
      <c r="N1024" s="95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</row>
    <row r="1025" ht="15.75" customHeight="1">
      <c r="A1025" s="95"/>
      <c r="B1025" s="95"/>
      <c r="C1025" s="95"/>
      <c r="D1025" s="95"/>
      <c r="E1025" s="95"/>
      <c r="F1025" s="95"/>
      <c r="G1025" s="95"/>
      <c r="H1025" s="95"/>
      <c r="I1025" s="95"/>
      <c r="J1025" s="95"/>
      <c r="K1025" s="95"/>
      <c r="L1025" s="95"/>
      <c r="M1025" s="95"/>
      <c r="N1025" s="95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</row>
    <row r="1026" ht="15.75" customHeight="1">
      <c r="A1026" s="95"/>
      <c r="B1026" s="95"/>
      <c r="C1026" s="95"/>
      <c r="D1026" s="95"/>
      <c r="E1026" s="95"/>
      <c r="F1026" s="95"/>
      <c r="G1026" s="95"/>
      <c r="H1026" s="95"/>
      <c r="I1026" s="95"/>
      <c r="J1026" s="95"/>
      <c r="K1026" s="95"/>
      <c r="L1026" s="95"/>
      <c r="M1026" s="95"/>
      <c r="N1026" s="95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</row>
    <row r="1027" ht="15.75" customHeight="1">
      <c r="A1027" s="95"/>
      <c r="B1027" s="95"/>
      <c r="C1027" s="95"/>
      <c r="D1027" s="95"/>
      <c r="E1027" s="95"/>
      <c r="F1027" s="95"/>
      <c r="G1027" s="95"/>
      <c r="H1027" s="95"/>
      <c r="I1027" s="95"/>
      <c r="J1027" s="95"/>
      <c r="K1027" s="95"/>
      <c r="L1027" s="95"/>
      <c r="M1027" s="95"/>
      <c r="N1027" s="95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</row>
    <row r="1028" ht="15.75" customHeight="1">
      <c r="A1028" s="95"/>
      <c r="B1028" s="95"/>
      <c r="C1028" s="95"/>
      <c r="D1028" s="95"/>
      <c r="E1028" s="95"/>
      <c r="F1028" s="95"/>
      <c r="G1028" s="95"/>
      <c r="H1028" s="95"/>
      <c r="I1028" s="95"/>
      <c r="J1028" s="95"/>
      <c r="K1028" s="95"/>
      <c r="L1028" s="95"/>
      <c r="M1028" s="95"/>
      <c r="N1028" s="95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</row>
    <row r="1029" ht="15.75" customHeight="1">
      <c r="A1029" s="95"/>
      <c r="B1029" s="95"/>
      <c r="C1029" s="95"/>
      <c r="D1029" s="95"/>
      <c r="E1029" s="95"/>
      <c r="F1029" s="95"/>
      <c r="G1029" s="95"/>
      <c r="H1029" s="95"/>
      <c r="I1029" s="95"/>
      <c r="J1029" s="95"/>
      <c r="K1029" s="95"/>
      <c r="L1029" s="95"/>
      <c r="M1029" s="95"/>
      <c r="N1029" s="95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</row>
    <row r="1030" ht="15.75" customHeight="1">
      <c r="A1030" s="95"/>
      <c r="B1030" s="95"/>
      <c r="C1030" s="95"/>
      <c r="D1030" s="95"/>
      <c r="E1030" s="95"/>
      <c r="F1030" s="95"/>
      <c r="G1030" s="95"/>
      <c r="H1030" s="95"/>
      <c r="I1030" s="95"/>
      <c r="J1030" s="95"/>
      <c r="K1030" s="95"/>
      <c r="L1030" s="95"/>
      <c r="M1030" s="95"/>
      <c r="N1030" s="95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</row>
    <row r="1031" ht="15.75" customHeight="1">
      <c r="A1031" s="95"/>
      <c r="B1031" s="95"/>
      <c r="C1031" s="95"/>
      <c r="D1031" s="95"/>
      <c r="E1031" s="95"/>
      <c r="F1031" s="95"/>
      <c r="G1031" s="95"/>
      <c r="H1031" s="95"/>
      <c r="I1031" s="95"/>
      <c r="J1031" s="95"/>
      <c r="K1031" s="95"/>
      <c r="L1031" s="95"/>
      <c r="M1031" s="95"/>
      <c r="N1031" s="95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</row>
    <row r="1032" ht="15.75" customHeight="1">
      <c r="A1032" s="95"/>
      <c r="B1032" s="95"/>
      <c r="C1032" s="95"/>
      <c r="D1032" s="95"/>
      <c r="E1032" s="95"/>
      <c r="F1032" s="95"/>
      <c r="G1032" s="95"/>
      <c r="H1032" s="95"/>
      <c r="I1032" s="95"/>
      <c r="J1032" s="95"/>
      <c r="K1032" s="95"/>
      <c r="L1032" s="95"/>
      <c r="M1032" s="95"/>
      <c r="N1032" s="95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</row>
    <row r="1033" ht="15.75" customHeight="1">
      <c r="A1033" s="95"/>
      <c r="B1033" s="95"/>
      <c r="C1033" s="95"/>
      <c r="D1033" s="95"/>
      <c r="E1033" s="95"/>
      <c r="F1033" s="95"/>
      <c r="G1033" s="95"/>
      <c r="H1033" s="95"/>
      <c r="I1033" s="95"/>
      <c r="J1033" s="95"/>
      <c r="K1033" s="95"/>
      <c r="L1033" s="95"/>
      <c r="M1033" s="95"/>
      <c r="N1033" s="95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</row>
    <row r="1034" ht="15.75" customHeight="1">
      <c r="A1034" s="95"/>
      <c r="B1034" s="95"/>
      <c r="C1034" s="95"/>
      <c r="D1034" s="95"/>
      <c r="E1034" s="95"/>
      <c r="F1034" s="95"/>
      <c r="G1034" s="95"/>
      <c r="H1034" s="95"/>
      <c r="I1034" s="95"/>
      <c r="J1034" s="95"/>
      <c r="K1034" s="95"/>
      <c r="L1034" s="95"/>
      <c r="M1034" s="95"/>
      <c r="N1034" s="95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</row>
    <row r="1035" ht="15.75" customHeight="1">
      <c r="A1035" s="95"/>
      <c r="B1035" s="95"/>
      <c r="C1035" s="95"/>
      <c r="D1035" s="95"/>
      <c r="E1035" s="95"/>
      <c r="F1035" s="95"/>
      <c r="G1035" s="95"/>
      <c r="H1035" s="95"/>
      <c r="I1035" s="95"/>
      <c r="J1035" s="95"/>
      <c r="K1035" s="95"/>
      <c r="L1035" s="95"/>
      <c r="M1035" s="95"/>
      <c r="N1035" s="95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</row>
    <row r="1036" ht="15.75" customHeight="1">
      <c r="A1036" s="95"/>
      <c r="B1036" s="95"/>
      <c r="C1036" s="95"/>
      <c r="D1036" s="95"/>
      <c r="E1036" s="95"/>
      <c r="F1036" s="95"/>
      <c r="G1036" s="95"/>
      <c r="H1036" s="95"/>
      <c r="I1036" s="95"/>
      <c r="J1036" s="95"/>
      <c r="K1036" s="95"/>
      <c r="L1036" s="95"/>
      <c r="M1036" s="95"/>
      <c r="N1036" s="95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</row>
    <row r="1037" ht="15.75" customHeight="1">
      <c r="A1037" s="95"/>
      <c r="B1037" s="95"/>
      <c r="C1037" s="95"/>
      <c r="D1037" s="95"/>
      <c r="E1037" s="95"/>
      <c r="F1037" s="95"/>
      <c r="G1037" s="95"/>
      <c r="H1037" s="95"/>
      <c r="I1037" s="95"/>
      <c r="J1037" s="95"/>
      <c r="K1037" s="95"/>
      <c r="L1037" s="95"/>
      <c r="M1037" s="95"/>
      <c r="N1037" s="95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</row>
    <row r="1038" ht="15.75" customHeight="1">
      <c r="A1038" s="95"/>
      <c r="B1038" s="95"/>
      <c r="C1038" s="95"/>
      <c r="D1038" s="95"/>
      <c r="E1038" s="95"/>
      <c r="F1038" s="95"/>
      <c r="G1038" s="95"/>
      <c r="H1038" s="95"/>
      <c r="I1038" s="95"/>
      <c r="J1038" s="95"/>
      <c r="K1038" s="95"/>
      <c r="L1038" s="95"/>
      <c r="M1038" s="95"/>
      <c r="N1038" s="95"/>
      <c r="O1038" s="95"/>
      <c r="P1038" s="95"/>
      <c r="Q1038" s="95"/>
      <c r="R1038" s="95"/>
      <c r="S1038" s="95"/>
      <c r="T1038" s="95"/>
      <c r="U1038" s="95"/>
      <c r="V1038" s="95"/>
      <c r="W1038" s="95"/>
      <c r="X1038" s="95"/>
      <c r="Y1038" s="95"/>
      <c r="Z1038" s="95"/>
    </row>
    <row r="1039" ht="15.75" customHeight="1">
      <c r="A1039" s="95"/>
      <c r="B1039" s="95"/>
      <c r="C1039" s="95"/>
      <c r="D1039" s="95"/>
      <c r="E1039" s="95"/>
      <c r="F1039" s="95"/>
      <c r="G1039" s="95"/>
      <c r="H1039" s="95"/>
      <c r="I1039" s="95"/>
      <c r="J1039" s="95"/>
      <c r="K1039" s="95"/>
      <c r="L1039" s="95"/>
      <c r="M1039" s="95"/>
      <c r="N1039" s="95"/>
      <c r="O1039" s="95"/>
      <c r="P1039" s="95"/>
      <c r="Q1039" s="95"/>
      <c r="R1039" s="95"/>
      <c r="S1039" s="95"/>
      <c r="T1039" s="95"/>
      <c r="U1039" s="95"/>
      <c r="V1039" s="95"/>
      <c r="W1039" s="95"/>
      <c r="X1039" s="95"/>
      <c r="Y1039" s="95"/>
      <c r="Z1039" s="95"/>
    </row>
    <row r="1040" ht="15.75" customHeight="1">
      <c r="A1040" s="95"/>
      <c r="B1040" s="95"/>
      <c r="C1040" s="95"/>
      <c r="D1040" s="95"/>
      <c r="E1040" s="95"/>
      <c r="F1040" s="95"/>
      <c r="G1040" s="95"/>
      <c r="H1040" s="95"/>
      <c r="I1040" s="95"/>
      <c r="J1040" s="95"/>
      <c r="K1040" s="95"/>
      <c r="L1040" s="95"/>
      <c r="M1040" s="95"/>
      <c r="N1040" s="95"/>
      <c r="O1040" s="95"/>
      <c r="P1040" s="95"/>
      <c r="Q1040" s="95"/>
      <c r="R1040" s="95"/>
      <c r="S1040" s="95"/>
      <c r="T1040" s="95"/>
      <c r="U1040" s="95"/>
      <c r="V1040" s="95"/>
      <c r="W1040" s="95"/>
      <c r="X1040" s="95"/>
      <c r="Y1040" s="95"/>
      <c r="Z1040" s="95"/>
    </row>
    <row r="1041" ht="15.75" customHeight="1">
      <c r="A1041" s="95"/>
      <c r="B1041" s="95"/>
      <c r="C1041" s="95"/>
      <c r="D1041" s="95"/>
      <c r="E1041" s="95"/>
      <c r="F1041" s="95"/>
      <c r="G1041" s="95"/>
      <c r="H1041" s="95"/>
      <c r="I1041" s="95"/>
      <c r="J1041" s="95"/>
      <c r="K1041" s="95"/>
      <c r="L1041" s="95"/>
      <c r="M1041" s="95"/>
      <c r="N1041" s="95"/>
      <c r="O1041" s="95"/>
      <c r="P1041" s="95"/>
      <c r="Q1041" s="95"/>
      <c r="R1041" s="95"/>
      <c r="S1041" s="95"/>
      <c r="T1041" s="95"/>
      <c r="U1041" s="95"/>
      <c r="V1041" s="95"/>
      <c r="W1041" s="95"/>
      <c r="X1041" s="95"/>
      <c r="Y1041" s="95"/>
      <c r="Z1041" s="95"/>
    </row>
    <row r="1042" ht="15.75" customHeight="1">
      <c r="A1042" s="95"/>
      <c r="B1042" s="95"/>
      <c r="C1042" s="95"/>
      <c r="D1042" s="95"/>
      <c r="E1042" s="95"/>
      <c r="F1042" s="95"/>
      <c r="G1042" s="95"/>
      <c r="H1042" s="95"/>
      <c r="I1042" s="95"/>
      <c r="J1042" s="95"/>
      <c r="K1042" s="95"/>
      <c r="L1042" s="95"/>
      <c r="M1042" s="95"/>
      <c r="N1042" s="95"/>
      <c r="O1042" s="95"/>
      <c r="P1042" s="95"/>
      <c r="Q1042" s="95"/>
      <c r="R1042" s="95"/>
      <c r="S1042" s="95"/>
      <c r="T1042" s="95"/>
      <c r="U1042" s="95"/>
      <c r="V1042" s="95"/>
      <c r="W1042" s="95"/>
      <c r="X1042" s="95"/>
      <c r="Y1042" s="95"/>
      <c r="Z1042" s="95"/>
    </row>
    <row r="1043" ht="15.75" customHeight="1">
      <c r="A1043" s="95"/>
      <c r="B1043" s="95"/>
      <c r="C1043" s="95"/>
      <c r="D1043" s="95"/>
      <c r="E1043" s="95"/>
      <c r="F1043" s="95"/>
      <c r="G1043" s="95"/>
      <c r="H1043" s="95"/>
      <c r="I1043" s="95"/>
      <c r="J1043" s="95"/>
      <c r="K1043" s="95"/>
      <c r="L1043" s="95"/>
      <c r="M1043" s="95"/>
      <c r="N1043" s="95"/>
      <c r="O1043" s="95"/>
      <c r="P1043" s="95"/>
      <c r="Q1043" s="95"/>
      <c r="R1043" s="95"/>
      <c r="S1043" s="95"/>
      <c r="T1043" s="95"/>
      <c r="U1043" s="95"/>
      <c r="V1043" s="95"/>
      <c r="W1043" s="95"/>
      <c r="X1043" s="95"/>
      <c r="Y1043" s="95"/>
      <c r="Z1043" s="95"/>
    </row>
    <row r="1044" ht="15.75" customHeight="1">
      <c r="A1044" s="95"/>
      <c r="B1044" s="95"/>
      <c r="C1044" s="95"/>
      <c r="D1044" s="95"/>
      <c r="E1044" s="95"/>
      <c r="F1044" s="95"/>
      <c r="G1044" s="95"/>
      <c r="H1044" s="95"/>
      <c r="I1044" s="95"/>
      <c r="J1044" s="95"/>
      <c r="K1044" s="95"/>
      <c r="L1044" s="95"/>
      <c r="M1044" s="95"/>
      <c r="N1044" s="95"/>
      <c r="O1044" s="95"/>
      <c r="P1044" s="95"/>
      <c r="Q1044" s="95"/>
      <c r="R1044" s="95"/>
      <c r="S1044" s="95"/>
      <c r="T1044" s="95"/>
      <c r="U1044" s="95"/>
      <c r="V1044" s="95"/>
      <c r="W1044" s="95"/>
      <c r="X1044" s="95"/>
      <c r="Y1044" s="95"/>
      <c r="Z1044" s="95"/>
    </row>
    <row r="1045" ht="15.75" customHeight="1">
      <c r="A1045" s="95"/>
      <c r="B1045" s="95"/>
      <c r="C1045" s="95"/>
      <c r="D1045" s="95"/>
      <c r="E1045" s="95"/>
      <c r="F1045" s="95"/>
      <c r="G1045" s="95"/>
      <c r="H1045" s="95"/>
      <c r="I1045" s="95"/>
      <c r="J1045" s="95"/>
      <c r="K1045" s="95"/>
      <c r="L1045" s="95"/>
      <c r="M1045" s="95"/>
      <c r="N1045" s="95"/>
      <c r="O1045" s="95"/>
      <c r="P1045" s="95"/>
      <c r="Q1045" s="95"/>
      <c r="R1045" s="95"/>
      <c r="S1045" s="95"/>
      <c r="T1045" s="95"/>
      <c r="U1045" s="95"/>
      <c r="V1045" s="95"/>
      <c r="W1045" s="95"/>
      <c r="X1045" s="95"/>
      <c r="Y1045" s="95"/>
      <c r="Z1045" s="95"/>
    </row>
    <row r="1046" ht="15.75" customHeight="1">
      <c r="A1046" s="95"/>
      <c r="B1046" s="95"/>
      <c r="C1046" s="95"/>
      <c r="D1046" s="95"/>
      <c r="E1046" s="95"/>
      <c r="F1046" s="95"/>
      <c r="G1046" s="95"/>
      <c r="H1046" s="95"/>
      <c r="I1046" s="95"/>
      <c r="J1046" s="95"/>
      <c r="K1046" s="95"/>
      <c r="L1046" s="95"/>
      <c r="M1046" s="95"/>
      <c r="N1046" s="95"/>
      <c r="O1046" s="95"/>
      <c r="P1046" s="95"/>
      <c r="Q1046" s="95"/>
      <c r="R1046" s="95"/>
      <c r="S1046" s="95"/>
      <c r="T1046" s="95"/>
      <c r="U1046" s="95"/>
      <c r="V1046" s="95"/>
      <c r="W1046" s="95"/>
      <c r="X1046" s="95"/>
      <c r="Y1046" s="95"/>
      <c r="Z1046" s="95"/>
    </row>
    <row r="1047" ht="15.75" customHeight="1">
      <c r="A1047" s="95"/>
      <c r="B1047" s="95"/>
      <c r="C1047" s="95"/>
      <c r="D1047" s="95"/>
      <c r="E1047" s="95"/>
      <c r="F1047" s="95"/>
      <c r="G1047" s="95"/>
      <c r="H1047" s="95"/>
      <c r="I1047" s="95"/>
      <c r="J1047" s="95"/>
      <c r="K1047" s="95"/>
      <c r="L1047" s="95"/>
      <c r="M1047" s="95"/>
      <c r="N1047" s="95"/>
      <c r="O1047" s="95"/>
      <c r="P1047" s="95"/>
      <c r="Q1047" s="95"/>
      <c r="R1047" s="95"/>
      <c r="S1047" s="95"/>
      <c r="T1047" s="95"/>
      <c r="U1047" s="95"/>
      <c r="V1047" s="95"/>
      <c r="W1047" s="95"/>
      <c r="X1047" s="95"/>
      <c r="Y1047" s="95"/>
      <c r="Z1047" s="95"/>
    </row>
    <row r="1048" ht="15.75" customHeight="1">
      <c r="A1048" s="95"/>
      <c r="B1048" s="95"/>
      <c r="C1048" s="95"/>
      <c r="D1048" s="95"/>
      <c r="E1048" s="95"/>
      <c r="F1048" s="95"/>
      <c r="G1048" s="95"/>
      <c r="H1048" s="95"/>
      <c r="I1048" s="95"/>
      <c r="J1048" s="95"/>
      <c r="K1048" s="95"/>
      <c r="L1048" s="95"/>
      <c r="M1048" s="95"/>
      <c r="N1048" s="95"/>
      <c r="O1048" s="95"/>
      <c r="P1048" s="95"/>
      <c r="Q1048" s="95"/>
      <c r="R1048" s="95"/>
      <c r="S1048" s="95"/>
      <c r="T1048" s="95"/>
      <c r="U1048" s="95"/>
      <c r="V1048" s="95"/>
      <c r="W1048" s="95"/>
      <c r="X1048" s="95"/>
      <c r="Y1048" s="95"/>
      <c r="Z1048" s="95"/>
    </row>
    <row r="1049" ht="15.75" customHeight="1">
      <c r="A1049" s="95"/>
      <c r="B1049" s="95"/>
      <c r="C1049" s="95"/>
      <c r="D1049" s="95"/>
      <c r="E1049" s="95"/>
      <c r="F1049" s="95"/>
      <c r="G1049" s="95"/>
      <c r="H1049" s="95"/>
      <c r="I1049" s="95"/>
      <c r="J1049" s="95"/>
      <c r="K1049" s="95"/>
      <c r="L1049" s="95"/>
      <c r="M1049" s="95"/>
      <c r="N1049" s="95"/>
      <c r="O1049" s="95"/>
      <c r="P1049" s="95"/>
      <c r="Q1049" s="95"/>
      <c r="R1049" s="95"/>
      <c r="S1049" s="95"/>
      <c r="T1049" s="95"/>
      <c r="U1049" s="95"/>
      <c r="V1049" s="95"/>
      <c r="W1049" s="95"/>
      <c r="X1049" s="95"/>
      <c r="Y1049" s="95"/>
      <c r="Z1049" s="95"/>
    </row>
    <row r="1050" ht="15.75" customHeight="1">
      <c r="A1050" s="95"/>
      <c r="B1050" s="95"/>
      <c r="C1050" s="95"/>
      <c r="D1050" s="95"/>
      <c r="E1050" s="95"/>
      <c r="F1050" s="95"/>
      <c r="G1050" s="95"/>
      <c r="H1050" s="95"/>
      <c r="I1050" s="95"/>
      <c r="J1050" s="95"/>
      <c r="K1050" s="95"/>
      <c r="L1050" s="95"/>
      <c r="M1050" s="95"/>
      <c r="N1050" s="95"/>
      <c r="O1050" s="95"/>
      <c r="P1050" s="95"/>
      <c r="Q1050" s="95"/>
      <c r="R1050" s="95"/>
      <c r="S1050" s="95"/>
      <c r="T1050" s="95"/>
      <c r="U1050" s="95"/>
      <c r="V1050" s="95"/>
      <c r="W1050" s="95"/>
      <c r="X1050" s="95"/>
      <c r="Y1050" s="95"/>
      <c r="Z1050" s="95"/>
    </row>
    <row r="1051" ht="15.75" customHeight="1">
      <c r="A1051" s="95"/>
      <c r="B1051" s="95"/>
      <c r="C1051" s="95"/>
      <c r="D1051" s="95"/>
      <c r="E1051" s="95"/>
      <c r="F1051" s="95"/>
      <c r="G1051" s="95"/>
      <c r="H1051" s="95"/>
      <c r="I1051" s="95"/>
      <c r="J1051" s="95"/>
      <c r="K1051" s="95"/>
      <c r="L1051" s="95"/>
      <c r="M1051" s="95"/>
      <c r="N1051" s="95"/>
      <c r="O1051" s="95"/>
      <c r="P1051" s="95"/>
      <c r="Q1051" s="95"/>
      <c r="R1051" s="95"/>
      <c r="S1051" s="95"/>
      <c r="T1051" s="95"/>
      <c r="U1051" s="95"/>
      <c r="V1051" s="95"/>
      <c r="W1051" s="95"/>
      <c r="X1051" s="95"/>
      <c r="Y1051" s="95"/>
      <c r="Z1051" s="95"/>
    </row>
    <row r="1052" ht="15.75" customHeight="1">
      <c r="A1052" s="95"/>
      <c r="B1052" s="95"/>
      <c r="C1052" s="95"/>
      <c r="D1052" s="95"/>
      <c r="E1052" s="95"/>
      <c r="F1052" s="95"/>
      <c r="G1052" s="95"/>
      <c r="H1052" s="95"/>
      <c r="I1052" s="95"/>
      <c r="J1052" s="95"/>
      <c r="K1052" s="95"/>
      <c r="L1052" s="95"/>
      <c r="M1052" s="95"/>
      <c r="N1052" s="95"/>
      <c r="O1052" s="95"/>
      <c r="P1052" s="95"/>
      <c r="Q1052" s="95"/>
      <c r="R1052" s="95"/>
      <c r="S1052" s="95"/>
      <c r="T1052" s="95"/>
      <c r="U1052" s="95"/>
      <c r="V1052" s="95"/>
      <c r="W1052" s="95"/>
      <c r="X1052" s="95"/>
      <c r="Y1052" s="95"/>
      <c r="Z1052" s="95"/>
    </row>
    <row r="1053" ht="15.75" customHeight="1">
      <c r="A1053" s="95"/>
      <c r="B1053" s="95"/>
      <c r="C1053" s="95"/>
      <c r="D1053" s="95"/>
      <c r="E1053" s="95"/>
      <c r="F1053" s="95"/>
      <c r="G1053" s="95"/>
      <c r="H1053" s="95"/>
      <c r="I1053" s="95"/>
      <c r="J1053" s="95"/>
      <c r="K1053" s="95"/>
      <c r="L1053" s="95"/>
      <c r="M1053" s="95"/>
      <c r="N1053" s="95"/>
      <c r="O1053" s="95"/>
      <c r="P1053" s="95"/>
      <c r="Q1053" s="95"/>
      <c r="R1053" s="95"/>
      <c r="S1053" s="95"/>
      <c r="T1053" s="95"/>
      <c r="U1053" s="95"/>
      <c r="V1053" s="95"/>
      <c r="W1053" s="95"/>
      <c r="X1053" s="95"/>
      <c r="Y1053" s="95"/>
      <c r="Z1053" s="95"/>
    </row>
    <row r="1054" ht="15.75" customHeight="1">
      <c r="A1054" s="95"/>
      <c r="B1054" s="95"/>
      <c r="C1054" s="95"/>
      <c r="D1054" s="95"/>
      <c r="E1054" s="95"/>
      <c r="F1054" s="95"/>
      <c r="G1054" s="95"/>
      <c r="H1054" s="95"/>
      <c r="I1054" s="95"/>
      <c r="J1054" s="95"/>
      <c r="K1054" s="95"/>
      <c r="L1054" s="95"/>
      <c r="M1054" s="95"/>
      <c r="N1054" s="95"/>
      <c r="O1054" s="95"/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</row>
    <row r="1055" ht="15.75" customHeight="1">
      <c r="A1055" s="95"/>
      <c r="B1055" s="95"/>
      <c r="C1055" s="95"/>
      <c r="D1055" s="95"/>
      <c r="E1055" s="95"/>
      <c r="F1055" s="95"/>
      <c r="G1055" s="95"/>
      <c r="H1055" s="95"/>
      <c r="I1055" s="95"/>
      <c r="J1055" s="95"/>
      <c r="K1055" s="95"/>
      <c r="L1055" s="95"/>
      <c r="M1055" s="95"/>
      <c r="N1055" s="95"/>
      <c r="O1055" s="95"/>
      <c r="P1055" s="95"/>
      <c r="Q1055" s="95"/>
      <c r="R1055" s="95"/>
      <c r="S1055" s="95"/>
      <c r="T1055" s="95"/>
      <c r="U1055" s="95"/>
      <c r="V1055" s="95"/>
      <c r="W1055" s="95"/>
      <c r="X1055" s="95"/>
      <c r="Y1055" s="95"/>
      <c r="Z1055" s="95"/>
    </row>
    <row r="1056" ht="15.75" customHeight="1">
      <c r="A1056" s="95"/>
      <c r="B1056" s="95"/>
      <c r="C1056" s="95"/>
      <c r="D1056" s="95"/>
      <c r="E1056" s="95"/>
      <c r="F1056" s="95"/>
      <c r="G1056" s="95"/>
      <c r="H1056" s="95"/>
      <c r="I1056" s="95"/>
      <c r="J1056" s="95"/>
      <c r="K1056" s="95"/>
      <c r="L1056" s="95"/>
      <c r="M1056" s="95"/>
      <c r="N1056" s="95"/>
      <c r="O1056" s="95"/>
      <c r="P1056" s="95"/>
      <c r="Q1056" s="95"/>
      <c r="R1056" s="95"/>
      <c r="S1056" s="95"/>
      <c r="T1056" s="95"/>
      <c r="U1056" s="95"/>
      <c r="V1056" s="95"/>
      <c r="W1056" s="95"/>
      <c r="X1056" s="95"/>
      <c r="Y1056" s="95"/>
      <c r="Z1056" s="95"/>
    </row>
    <row r="1057" ht="15.75" customHeight="1">
      <c r="A1057" s="95"/>
      <c r="B1057" s="95"/>
      <c r="C1057" s="95"/>
      <c r="D1057" s="95"/>
      <c r="E1057" s="95"/>
      <c r="F1057" s="95"/>
      <c r="G1057" s="95"/>
      <c r="H1057" s="95"/>
      <c r="I1057" s="95"/>
      <c r="J1057" s="95"/>
      <c r="K1057" s="95"/>
      <c r="L1057" s="95"/>
      <c r="M1057" s="95"/>
      <c r="N1057" s="95"/>
      <c r="O1057" s="95"/>
      <c r="P1057" s="95"/>
      <c r="Q1057" s="95"/>
      <c r="R1057" s="95"/>
      <c r="S1057" s="95"/>
      <c r="T1057" s="95"/>
      <c r="U1057" s="95"/>
      <c r="V1057" s="95"/>
      <c r="W1057" s="95"/>
      <c r="X1057" s="95"/>
      <c r="Y1057" s="95"/>
      <c r="Z1057" s="95"/>
    </row>
    <row r="1058" ht="15.75" customHeight="1">
      <c r="A1058" s="95"/>
      <c r="B1058" s="95"/>
      <c r="C1058" s="95"/>
      <c r="D1058" s="95"/>
      <c r="E1058" s="95"/>
      <c r="F1058" s="95"/>
      <c r="G1058" s="95"/>
      <c r="H1058" s="95"/>
      <c r="I1058" s="95"/>
      <c r="J1058" s="95"/>
      <c r="K1058" s="95"/>
      <c r="L1058" s="95"/>
      <c r="M1058" s="95"/>
      <c r="N1058" s="95"/>
      <c r="O1058" s="95"/>
      <c r="P1058" s="95"/>
      <c r="Q1058" s="95"/>
      <c r="R1058" s="95"/>
      <c r="S1058" s="95"/>
      <c r="T1058" s="95"/>
      <c r="U1058" s="95"/>
      <c r="V1058" s="95"/>
      <c r="W1058" s="95"/>
      <c r="X1058" s="95"/>
      <c r="Y1058" s="95"/>
      <c r="Z1058" s="95"/>
    </row>
    <row r="1059" ht="15.75" customHeight="1">
      <c r="A1059" s="95"/>
      <c r="B1059" s="95"/>
      <c r="C1059" s="95"/>
      <c r="D1059" s="95"/>
      <c r="E1059" s="95"/>
      <c r="F1059" s="95"/>
      <c r="G1059" s="95"/>
      <c r="H1059" s="95"/>
      <c r="I1059" s="95"/>
      <c r="J1059" s="95"/>
      <c r="K1059" s="95"/>
      <c r="L1059" s="95"/>
      <c r="M1059" s="95"/>
      <c r="N1059" s="95"/>
      <c r="O1059" s="95"/>
      <c r="P1059" s="95"/>
      <c r="Q1059" s="95"/>
      <c r="R1059" s="95"/>
      <c r="S1059" s="95"/>
      <c r="T1059" s="95"/>
      <c r="U1059" s="95"/>
      <c r="V1059" s="95"/>
      <c r="W1059" s="95"/>
      <c r="X1059" s="95"/>
      <c r="Y1059" s="95"/>
      <c r="Z1059" s="95"/>
    </row>
    <row r="1060" ht="15.75" customHeight="1">
      <c r="A1060" s="95"/>
      <c r="B1060" s="95"/>
      <c r="C1060" s="95"/>
      <c r="D1060" s="95"/>
      <c r="E1060" s="95"/>
      <c r="F1060" s="95"/>
      <c r="G1060" s="95"/>
      <c r="H1060" s="95"/>
      <c r="I1060" s="95"/>
      <c r="J1060" s="95"/>
      <c r="K1060" s="95"/>
      <c r="L1060" s="95"/>
      <c r="M1060" s="95"/>
      <c r="N1060" s="95"/>
      <c r="O1060" s="95"/>
      <c r="P1060" s="95"/>
      <c r="Q1060" s="95"/>
      <c r="R1060" s="95"/>
      <c r="S1060" s="95"/>
      <c r="T1060" s="95"/>
      <c r="U1060" s="95"/>
      <c r="V1060" s="95"/>
      <c r="W1060" s="95"/>
      <c r="X1060" s="95"/>
      <c r="Y1060" s="95"/>
      <c r="Z1060" s="95"/>
    </row>
    <row r="1061" ht="15.75" customHeight="1">
      <c r="A1061" s="95"/>
      <c r="B1061" s="95"/>
      <c r="C1061" s="95"/>
      <c r="D1061" s="95"/>
      <c r="E1061" s="95"/>
      <c r="F1061" s="95"/>
      <c r="G1061" s="95"/>
      <c r="H1061" s="95"/>
      <c r="I1061" s="95"/>
      <c r="J1061" s="95"/>
      <c r="K1061" s="95"/>
      <c r="L1061" s="95"/>
      <c r="M1061" s="95"/>
      <c r="N1061" s="95"/>
      <c r="O1061" s="95"/>
      <c r="P1061" s="95"/>
      <c r="Q1061" s="95"/>
      <c r="R1061" s="95"/>
      <c r="S1061" s="95"/>
      <c r="T1061" s="95"/>
      <c r="U1061" s="95"/>
      <c r="V1061" s="95"/>
      <c r="W1061" s="95"/>
      <c r="X1061" s="95"/>
      <c r="Y1061" s="95"/>
      <c r="Z1061" s="95"/>
    </row>
    <row r="1062" ht="15.75" customHeight="1">
      <c r="A1062" s="95"/>
      <c r="B1062" s="95"/>
      <c r="C1062" s="95"/>
      <c r="D1062" s="95"/>
      <c r="E1062" s="95"/>
      <c r="F1062" s="95"/>
      <c r="G1062" s="95"/>
      <c r="H1062" s="95"/>
      <c r="I1062" s="95"/>
      <c r="J1062" s="95"/>
      <c r="K1062" s="95"/>
      <c r="L1062" s="95"/>
      <c r="M1062" s="95"/>
      <c r="N1062" s="95"/>
      <c r="O1062" s="95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</row>
    <row r="1063" ht="15.75" customHeight="1">
      <c r="A1063" s="95"/>
      <c r="B1063" s="95"/>
      <c r="C1063" s="95"/>
      <c r="D1063" s="95"/>
      <c r="E1063" s="95"/>
      <c r="F1063" s="95"/>
      <c r="G1063" s="95"/>
      <c r="H1063" s="95"/>
      <c r="I1063" s="95"/>
      <c r="J1063" s="95"/>
      <c r="K1063" s="95"/>
      <c r="L1063" s="95"/>
      <c r="M1063" s="95"/>
      <c r="N1063" s="95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</row>
    <row r="1064" ht="15.75" customHeight="1">
      <c r="A1064" s="95"/>
      <c r="B1064" s="95"/>
      <c r="C1064" s="95"/>
      <c r="D1064" s="95"/>
      <c r="E1064" s="95"/>
      <c r="F1064" s="95"/>
      <c r="G1064" s="95"/>
      <c r="H1064" s="95"/>
      <c r="I1064" s="95"/>
      <c r="J1064" s="95"/>
      <c r="K1064" s="95"/>
      <c r="L1064" s="95"/>
      <c r="M1064" s="95"/>
      <c r="N1064" s="95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</row>
    <row r="1065" ht="15.75" customHeight="1">
      <c r="A1065" s="95"/>
      <c r="B1065" s="95"/>
      <c r="C1065" s="95"/>
      <c r="D1065" s="95"/>
      <c r="E1065" s="95"/>
      <c r="F1065" s="95"/>
      <c r="G1065" s="95"/>
      <c r="H1065" s="95"/>
      <c r="I1065" s="95"/>
      <c r="J1065" s="95"/>
      <c r="K1065" s="95"/>
      <c r="L1065" s="95"/>
      <c r="M1065" s="95"/>
      <c r="N1065" s="95"/>
      <c r="O1065" s="95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</row>
    <row r="1066" ht="15.75" customHeight="1">
      <c r="A1066" s="95"/>
      <c r="B1066" s="95"/>
      <c r="C1066" s="95"/>
      <c r="D1066" s="95"/>
      <c r="E1066" s="95"/>
      <c r="F1066" s="95"/>
      <c r="G1066" s="95"/>
      <c r="H1066" s="95"/>
      <c r="I1066" s="95"/>
      <c r="J1066" s="95"/>
      <c r="K1066" s="95"/>
      <c r="L1066" s="95"/>
      <c r="M1066" s="95"/>
      <c r="N1066" s="95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</row>
    <row r="1067" ht="15.75" customHeight="1">
      <c r="A1067" s="95"/>
      <c r="B1067" s="95"/>
      <c r="C1067" s="95"/>
      <c r="D1067" s="95"/>
      <c r="E1067" s="95"/>
      <c r="F1067" s="95"/>
      <c r="G1067" s="95"/>
      <c r="H1067" s="95"/>
      <c r="I1067" s="95"/>
      <c r="J1067" s="95"/>
      <c r="K1067" s="95"/>
      <c r="L1067" s="95"/>
      <c r="M1067" s="95"/>
      <c r="N1067" s="95"/>
      <c r="O1067" s="95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</row>
    <row r="1068" ht="15.75" customHeight="1">
      <c r="A1068" s="95"/>
      <c r="B1068" s="95"/>
      <c r="C1068" s="95"/>
      <c r="D1068" s="95"/>
      <c r="E1068" s="95"/>
      <c r="F1068" s="95"/>
      <c r="G1068" s="95"/>
      <c r="H1068" s="95"/>
      <c r="I1068" s="95"/>
      <c r="J1068" s="95"/>
      <c r="K1068" s="95"/>
      <c r="L1068" s="95"/>
      <c r="M1068" s="95"/>
      <c r="N1068" s="95"/>
      <c r="O1068" s="95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</row>
    <row r="1069" ht="15.75" customHeight="1">
      <c r="A1069" s="95"/>
      <c r="B1069" s="95"/>
      <c r="C1069" s="95"/>
      <c r="D1069" s="95"/>
      <c r="E1069" s="95"/>
      <c r="F1069" s="95"/>
      <c r="G1069" s="95"/>
      <c r="H1069" s="95"/>
      <c r="I1069" s="95"/>
      <c r="J1069" s="95"/>
      <c r="K1069" s="95"/>
      <c r="L1069" s="95"/>
      <c r="M1069" s="95"/>
      <c r="N1069" s="95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</row>
    <row r="1070" ht="15.75" customHeight="1">
      <c r="A1070" s="95"/>
      <c r="B1070" s="95"/>
      <c r="C1070" s="95"/>
      <c r="D1070" s="95"/>
      <c r="E1070" s="95"/>
      <c r="F1070" s="95"/>
      <c r="G1070" s="95"/>
      <c r="H1070" s="95"/>
      <c r="I1070" s="95"/>
      <c r="J1070" s="95"/>
      <c r="K1070" s="95"/>
      <c r="L1070" s="95"/>
      <c r="M1070" s="95"/>
      <c r="N1070" s="95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</row>
    <row r="1071" ht="15.75" customHeight="1">
      <c r="A1071" s="95"/>
      <c r="B1071" s="95"/>
      <c r="C1071" s="95"/>
      <c r="D1071" s="95"/>
      <c r="E1071" s="95"/>
      <c r="F1071" s="95"/>
      <c r="G1071" s="95"/>
      <c r="H1071" s="95"/>
      <c r="I1071" s="95"/>
      <c r="J1071" s="95"/>
      <c r="K1071" s="95"/>
      <c r="L1071" s="95"/>
      <c r="M1071" s="95"/>
      <c r="N1071" s="95"/>
      <c r="O1071" s="95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</row>
    <row r="1072" ht="15.75" customHeight="1">
      <c r="A1072" s="95"/>
      <c r="B1072" s="95"/>
      <c r="C1072" s="95"/>
      <c r="D1072" s="95"/>
      <c r="E1072" s="95"/>
      <c r="F1072" s="95"/>
      <c r="G1072" s="95"/>
      <c r="H1072" s="95"/>
      <c r="I1072" s="95"/>
      <c r="J1072" s="95"/>
      <c r="K1072" s="95"/>
      <c r="L1072" s="95"/>
      <c r="M1072" s="95"/>
      <c r="N1072" s="95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</row>
    <row r="1073" ht="15.75" customHeight="1">
      <c r="A1073" s="95"/>
      <c r="B1073" s="95"/>
      <c r="C1073" s="95"/>
      <c r="D1073" s="95"/>
      <c r="E1073" s="95"/>
      <c r="F1073" s="95"/>
      <c r="G1073" s="95"/>
      <c r="H1073" s="95"/>
      <c r="I1073" s="95"/>
      <c r="J1073" s="95"/>
      <c r="K1073" s="95"/>
      <c r="L1073" s="95"/>
      <c r="M1073" s="95"/>
      <c r="N1073" s="95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</row>
    <row r="1074" ht="15.75" customHeight="1">
      <c r="A1074" s="95"/>
      <c r="B1074" s="95"/>
      <c r="C1074" s="95"/>
      <c r="D1074" s="95"/>
      <c r="E1074" s="95"/>
      <c r="F1074" s="95"/>
      <c r="G1074" s="95"/>
      <c r="H1074" s="95"/>
      <c r="I1074" s="95"/>
      <c r="J1074" s="95"/>
      <c r="K1074" s="95"/>
      <c r="L1074" s="95"/>
      <c r="M1074" s="95"/>
      <c r="N1074" s="95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</row>
    <row r="1075" ht="15.75" customHeight="1">
      <c r="A1075" s="95"/>
      <c r="B1075" s="95"/>
      <c r="C1075" s="95"/>
      <c r="D1075" s="95"/>
      <c r="E1075" s="95"/>
      <c r="F1075" s="95"/>
      <c r="G1075" s="95"/>
      <c r="H1075" s="95"/>
      <c r="I1075" s="95"/>
      <c r="J1075" s="95"/>
      <c r="K1075" s="95"/>
      <c r="L1075" s="95"/>
      <c r="M1075" s="95"/>
      <c r="N1075" s="95"/>
      <c r="O1075" s="95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</row>
    <row r="1076" ht="15.75" customHeight="1">
      <c r="A1076" s="95"/>
      <c r="B1076" s="95"/>
      <c r="C1076" s="95"/>
      <c r="D1076" s="95"/>
      <c r="E1076" s="95"/>
      <c r="F1076" s="95"/>
      <c r="G1076" s="95"/>
      <c r="H1076" s="95"/>
      <c r="I1076" s="95"/>
      <c r="J1076" s="95"/>
      <c r="K1076" s="95"/>
      <c r="L1076" s="95"/>
      <c r="M1076" s="95"/>
      <c r="N1076" s="95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</row>
    <row r="1077" ht="15.75" customHeight="1">
      <c r="A1077" s="95"/>
      <c r="B1077" s="95"/>
      <c r="C1077" s="95"/>
      <c r="D1077" s="95"/>
      <c r="E1077" s="95"/>
      <c r="F1077" s="95"/>
      <c r="G1077" s="95"/>
      <c r="H1077" s="95"/>
      <c r="I1077" s="95"/>
      <c r="J1077" s="95"/>
      <c r="K1077" s="95"/>
      <c r="L1077" s="95"/>
      <c r="M1077" s="95"/>
      <c r="N1077" s="95"/>
      <c r="O1077" s="95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</row>
    <row r="1078" ht="15.75" customHeight="1">
      <c r="A1078" s="95"/>
      <c r="B1078" s="95"/>
      <c r="C1078" s="95"/>
      <c r="D1078" s="95"/>
      <c r="E1078" s="95"/>
      <c r="F1078" s="95"/>
      <c r="G1078" s="95"/>
      <c r="H1078" s="95"/>
      <c r="I1078" s="95"/>
      <c r="J1078" s="95"/>
      <c r="K1078" s="95"/>
      <c r="L1078" s="95"/>
      <c r="M1078" s="95"/>
      <c r="N1078" s="95"/>
      <c r="O1078" s="95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</row>
    <row r="1079" ht="15.75" customHeight="1">
      <c r="A1079" s="95"/>
      <c r="B1079" s="95"/>
      <c r="C1079" s="95"/>
      <c r="D1079" s="95"/>
      <c r="E1079" s="95"/>
      <c r="F1079" s="95"/>
      <c r="G1079" s="95"/>
      <c r="H1079" s="95"/>
      <c r="I1079" s="95"/>
      <c r="J1079" s="95"/>
      <c r="K1079" s="95"/>
      <c r="L1079" s="95"/>
      <c r="M1079" s="95"/>
      <c r="N1079" s="95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</row>
    <row r="1080" ht="15.75" customHeight="1">
      <c r="A1080" s="95"/>
      <c r="B1080" s="95"/>
      <c r="C1080" s="95"/>
      <c r="D1080" s="95"/>
      <c r="E1080" s="95"/>
      <c r="F1080" s="95"/>
      <c r="G1080" s="95"/>
      <c r="H1080" s="95"/>
      <c r="I1080" s="95"/>
      <c r="J1080" s="95"/>
      <c r="K1080" s="95"/>
      <c r="L1080" s="95"/>
      <c r="M1080" s="95"/>
      <c r="N1080" s="95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</row>
    <row r="1081" ht="15.75" customHeight="1">
      <c r="A1081" s="95"/>
      <c r="B1081" s="95"/>
      <c r="C1081" s="95"/>
      <c r="D1081" s="95"/>
      <c r="E1081" s="95"/>
      <c r="F1081" s="95"/>
      <c r="G1081" s="95"/>
      <c r="H1081" s="95"/>
      <c r="I1081" s="95"/>
      <c r="J1081" s="95"/>
      <c r="K1081" s="95"/>
      <c r="L1081" s="95"/>
      <c r="M1081" s="95"/>
      <c r="N1081" s="95"/>
      <c r="O1081" s="95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</row>
    <row r="1082" ht="15.75" customHeight="1">
      <c r="A1082" s="95"/>
      <c r="B1082" s="95"/>
      <c r="C1082" s="95"/>
      <c r="D1082" s="95"/>
      <c r="E1082" s="95"/>
      <c r="F1082" s="95"/>
      <c r="G1082" s="95"/>
      <c r="H1082" s="95"/>
      <c r="I1082" s="95"/>
      <c r="J1082" s="95"/>
      <c r="K1082" s="95"/>
      <c r="L1082" s="95"/>
      <c r="M1082" s="95"/>
      <c r="N1082" s="95"/>
      <c r="O1082" s="95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</row>
    <row r="1083" ht="15.75" customHeight="1">
      <c r="A1083" s="95"/>
      <c r="B1083" s="95"/>
      <c r="C1083" s="95"/>
      <c r="D1083" s="95"/>
      <c r="E1083" s="95"/>
      <c r="F1083" s="95"/>
      <c r="G1083" s="95"/>
      <c r="H1083" s="95"/>
      <c r="I1083" s="95"/>
      <c r="J1083" s="95"/>
      <c r="K1083" s="95"/>
      <c r="L1083" s="95"/>
      <c r="M1083" s="95"/>
      <c r="N1083" s="95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</row>
    <row r="1084" ht="15.75" customHeight="1">
      <c r="A1084" s="95"/>
      <c r="B1084" s="95"/>
      <c r="C1084" s="95"/>
      <c r="D1084" s="95"/>
      <c r="E1084" s="95"/>
      <c r="F1084" s="95"/>
      <c r="G1084" s="95"/>
      <c r="H1084" s="95"/>
      <c r="I1084" s="95"/>
      <c r="J1084" s="95"/>
      <c r="K1084" s="95"/>
      <c r="L1084" s="95"/>
      <c r="M1084" s="95"/>
      <c r="N1084" s="95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</row>
    <row r="1085" ht="15.75" customHeight="1">
      <c r="A1085" s="95"/>
      <c r="B1085" s="95"/>
      <c r="C1085" s="95"/>
      <c r="D1085" s="95"/>
      <c r="E1085" s="95"/>
      <c r="F1085" s="95"/>
      <c r="G1085" s="95"/>
      <c r="H1085" s="95"/>
      <c r="I1085" s="95"/>
      <c r="J1085" s="95"/>
      <c r="K1085" s="95"/>
      <c r="L1085" s="95"/>
      <c r="M1085" s="95"/>
      <c r="N1085" s="95"/>
      <c r="O1085" s="95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</row>
  </sheetData>
  <mergeCells count="5">
    <mergeCell ref="A2:I2"/>
    <mergeCell ref="A3:I3"/>
    <mergeCell ref="A4:I4"/>
    <mergeCell ref="A7:I7"/>
    <mergeCell ref="A112:H11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1B4B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16" t="s">
        <v>181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17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18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119" t="s">
        <v>173</v>
      </c>
      <c r="B6" s="119" t="s">
        <v>36</v>
      </c>
      <c r="C6" s="119" t="s">
        <v>37</v>
      </c>
      <c r="D6" s="119" t="s">
        <v>38</v>
      </c>
      <c r="E6" s="119" t="s">
        <v>39</v>
      </c>
      <c r="F6" s="119" t="s">
        <v>40</v>
      </c>
      <c r="G6" s="119" t="s">
        <v>41</v>
      </c>
      <c r="H6" s="119" t="s">
        <v>42</v>
      </c>
      <c r="I6" s="11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20" t="s">
        <v>180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21"/>
      <c r="B8" s="121"/>
      <c r="C8" s="121"/>
      <c r="D8" s="121"/>
      <c r="E8" s="121"/>
      <c r="F8" s="121"/>
      <c r="G8" s="121"/>
      <c r="H8" s="121"/>
      <c r="I8" s="1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22"/>
      <c r="B9" s="122"/>
      <c r="C9" s="122"/>
      <c r="D9" s="122"/>
      <c r="E9" s="122"/>
      <c r="F9" s="122"/>
      <c r="G9" s="122"/>
      <c r="H9" s="122"/>
      <c r="I9" s="1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21"/>
      <c r="B10" s="121"/>
      <c r="C10" s="121"/>
      <c r="D10" s="121"/>
      <c r="E10" s="121"/>
      <c r="F10" s="121"/>
      <c r="G10" s="121"/>
      <c r="H10" s="121"/>
      <c r="I10" s="1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123" t="s">
        <v>174</v>
      </c>
      <c r="B22" s="4"/>
      <c r="C22" s="4"/>
      <c r="D22" s="4"/>
      <c r="E22" s="4"/>
      <c r="F22" s="4"/>
      <c r="G22" s="4"/>
      <c r="H22" s="5"/>
      <c r="I22" s="124">
        <f>SUM(I7:I21)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I2"/>
    <mergeCell ref="A3:I3"/>
    <mergeCell ref="A4:I4"/>
    <mergeCell ref="A7:I7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917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25" t="s">
        <v>182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26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27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128" t="s">
        <v>173</v>
      </c>
      <c r="B6" s="128" t="s">
        <v>36</v>
      </c>
      <c r="C6" s="128" t="s">
        <v>37</v>
      </c>
      <c r="D6" s="128" t="s">
        <v>38</v>
      </c>
      <c r="E6" s="128" t="s">
        <v>39</v>
      </c>
      <c r="F6" s="128" t="s">
        <v>40</v>
      </c>
      <c r="G6" s="128" t="s">
        <v>41</v>
      </c>
      <c r="H6" s="128" t="s">
        <v>42</v>
      </c>
      <c r="I6" s="12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20" t="s">
        <v>180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21"/>
      <c r="B8" s="121"/>
      <c r="C8" s="121"/>
      <c r="D8" s="121"/>
      <c r="E8" s="121"/>
      <c r="F8" s="121"/>
      <c r="G8" s="121"/>
      <c r="H8" s="121"/>
      <c r="I8" s="1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22"/>
      <c r="B9" s="122"/>
      <c r="C9" s="122"/>
      <c r="D9" s="122"/>
      <c r="E9" s="122"/>
      <c r="F9" s="122"/>
      <c r="G9" s="122"/>
      <c r="H9" s="122"/>
      <c r="I9" s="1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21"/>
      <c r="B10" s="121"/>
      <c r="C10" s="121"/>
      <c r="D10" s="121"/>
      <c r="E10" s="121"/>
      <c r="F10" s="121"/>
      <c r="G10" s="121"/>
      <c r="H10" s="121"/>
      <c r="I10" s="1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129" t="s">
        <v>174</v>
      </c>
      <c r="B22" s="4"/>
      <c r="C22" s="4"/>
      <c r="D22" s="4"/>
      <c r="E22" s="4"/>
      <c r="F22" s="4"/>
      <c r="G22" s="4"/>
      <c r="H22" s="5"/>
      <c r="I22" s="130">
        <f>SUM(I7:I21)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I2"/>
    <mergeCell ref="A3:I3"/>
    <mergeCell ref="A4:I4"/>
    <mergeCell ref="A7:I7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151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31" t="s">
        <v>183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32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33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134" t="s">
        <v>173</v>
      </c>
      <c r="B6" s="134" t="s">
        <v>36</v>
      </c>
      <c r="C6" s="134" t="s">
        <v>37</v>
      </c>
      <c r="D6" s="134" t="s">
        <v>38</v>
      </c>
      <c r="E6" s="134" t="s">
        <v>39</v>
      </c>
      <c r="F6" s="134" t="s">
        <v>40</v>
      </c>
      <c r="G6" s="134" t="s">
        <v>41</v>
      </c>
      <c r="H6" s="134" t="s">
        <v>42</v>
      </c>
      <c r="I6" s="134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20" t="s">
        <v>180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21"/>
      <c r="B8" s="121"/>
      <c r="C8" s="121"/>
      <c r="D8" s="121"/>
      <c r="E8" s="121"/>
      <c r="F8" s="121"/>
      <c r="G8" s="121"/>
      <c r="H8" s="121"/>
      <c r="I8" s="1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22"/>
      <c r="B9" s="122"/>
      <c r="C9" s="122"/>
      <c r="D9" s="122"/>
      <c r="E9" s="122"/>
      <c r="F9" s="122"/>
      <c r="G9" s="122"/>
      <c r="H9" s="122"/>
      <c r="I9" s="1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21"/>
      <c r="B10" s="121"/>
      <c r="C10" s="121"/>
      <c r="D10" s="121"/>
      <c r="E10" s="121"/>
      <c r="F10" s="121"/>
      <c r="G10" s="121"/>
      <c r="H10" s="121"/>
      <c r="I10" s="1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135" t="s">
        <v>174</v>
      </c>
      <c r="B22" s="4"/>
      <c r="C22" s="4"/>
      <c r="D22" s="4"/>
      <c r="E22" s="4"/>
      <c r="F22" s="4"/>
      <c r="G22" s="4"/>
      <c r="H22" s="5"/>
      <c r="I22" s="136">
        <f>SUM(I7:I21)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I2"/>
    <mergeCell ref="A3:I3"/>
    <mergeCell ref="A4:I4"/>
    <mergeCell ref="A7:I7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E4A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37" t="s">
        <v>184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38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39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140" t="s">
        <v>173</v>
      </c>
      <c r="B6" s="140" t="s">
        <v>36</v>
      </c>
      <c r="C6" s="140" t="s">
        <v>37</v>
      </c>
      <c r="D6" s="140" t="s">
        <v>38</v>
      </c>
      <c r="E6" s="140" t="s">
        <v>39</v>
      </c>
      <c r="F6" s="140" t="s">
        <v>40</v>
      </c>
      <c r="G6" s="140" t="s">
        <v>41</v>
      </c>
      <c r="H6" s="140" t="s">
        <v>42</v>
      </c>
      <c r="I6" s="140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20" t="s">
        <v>180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21"/>
      <c r="B8" s="121"/>
      <c r="C8" s="121"/>
      <c r="D8" s="121"/>
      <c r="E8" s="121"/>
      <c r="F8" s="121"/>
      <c r="G8" s="121"/>
      <c r="H8" s="121"/>
      <c r="I8" s="1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22"/>
      <c r="B9" s="122"/>
      <c r="C9" s="122"/>
      <c r="D9" s="122"/>
      <c r="E9" s="122"/>
      <c r="F9" s="122"/>
      <c r="G9" s="122"/>
      <c r="H9" s="122"/>
      <c r="I9" s="1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21"/>
      <c r="B10" s="121"/>
      <c r="C10" s="121"/>
      <c r="D10" s="121"/>
      <c r="E10" s="121"/>
      <c r="F10" s="121"/>
      <c r="G10" s="121"/>
      <c r="H10" s="121"/>
      <c r="I10" s="1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141" t="s">
        <v>174</v>
      </c>
      <c r="B22" s="4"/>
      <c r="C22" s="4"/>
      <c r="D22" s="4"/>
      <c r="E22" s="4"/>
      <c r="F22" s="4"/>
      <c r="G22" s="4"/>
      <c r="H22" s="5"/>
      <c r="I22" s="142">
        <f>SUM(I7:I21)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I2"/>
    <mergeCell ref="A3:I3"/>
    <mergeCell ref="A4:I4"/>
    <mergeCell ref="A7:I7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1A03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43" t="s">
        <v>185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44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45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146" t="s">
        <v>173</v>
      </c>
      <c r="B6" s="146" t="s">
        <v>36</v>
      </c>
      <c r="C6" s="146" t="s">
        <v>37</v>
      </c>
      <c r="D6" s="146" t="s">
        <v>38</v>
      </c>
      <c r="E6" s="146" t="s">
        <v>39</v>
      </c>
      <c r="F6" s="146" t="s">
        <v>40</v>
      </c>
      <c r="G6" s="146" t="s">
        <v>41</v>
      </c>
      <c r="H6" s="146" t="s">
        <v>42</v>
      </c>
      <c r="I6" s="146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20" t="s">
        <v>180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21"/>
      <c r="B8" s="121"/>
      <c r="C8" s="121"/>
      <c r="D8" s="121"/>
      <c r="E8" s="121"/>
      <c r="F8" s="121"/>
      <c r="G8" s="121"/>
      <c r="H8" s="121"/>
      <c r="I8" s="1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22"/>
      <c r="B9" s="122"/>
      <c r="C9" s="122"/>
      <c r="D9" s="122"/>
      <c r="E9" s="122"/>
      <c r="F9" s="122"/>
      <c r="G9" s="122"/>
      <c r="H9" s="122"/>
      <c r="I9" s="1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21"/>
      <c r="B10" s="121"/>
      <c r="C10" s="121"/>
      <c r="D10" s="121"/>
      <c r="E10" s="121"/>
      <c r="F10" s="121"/>
      <c r="G10" s="121"/>
      <c r="H10" s="121"/>
      <c r="I10" s="1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147" t="s">
        <v>174</v>
      </c>
      <c r="B22" s="4"/>
      <c r="C22" s="4"/>
      <c r="D22" s="4"/>
      <c r="E22" s="4"/>
      <c r="F22" s="4"/>
      <c r="G22" s="4"/>
      <c r="H22" s="5"/>
      <c r="I22" s="148">
        <f>SUM(I7:I21)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I2"/>
    <mergeCell ref="A3:I3"/>
    <mergeCell ref="A4:I4"/>
    <mergeCell ref="A7:I7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044E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149" t="s">
        <v>186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50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51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152" t="s">
        <v>173</v>
      </c>
      <c r="B6" s="152" t="s">
        <v>36</v>
      </c>
      <c r="C6" s="152" t="s">
        <v>37</v>
      </c>
      <c r="D6" s="152" t="s">
        <v>38</v>
      </c>
      <c r="E6" s="152" t="s">
        <v>39</v>
      </c>
      <c r="F6" s="152" t="s">
        <v>40</v>
      </c>
      <c r="G6" s="152" t="s">
        <v>41</v>
      </c>
      <c r="H6" s="152" t="s">
        <v>42</v>
      </c>
      <c r="I6" s="152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20" t="s">
        <v>180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21"/>
      <c r="B8" s="121"/>
      <c r="C8" s="121"/>
      <c r="D8" s="121"/>
      <c r="E8" s="121"/>
      <c r="F8" s="121"/>
      <c r="G8" s="121"/>
      <c r="H8" s="121"/>
      <c r="I8" s="1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22"/>
      <c r="B9" s="122"/>
      <c r="C9" s="122"/>
      <c r="D9" s="122"/>
      <c r="E9" s="122"/>
      <c r="F9" s="122"/>
      <c r="G9" s="122"/>
      <c r="H9" s="122"/>
      <c r="I9" s="1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21"/>
      <c r="B10" s="121"/>
      <c r="C10" s="121"/>
      <c r="D10" s="121"/>
      <c r="E10" s="121"/>
      <c r="F10" s="121"/>
      <c r="G10" s="121"/>
      <c r="H10" s="121"/>
      <c r="I10" s="1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153" t="s">
        <v>174</v>
      </c>
      <c r="B22" s="4"/>
      <c r="C22" s="4"/>
      <c r="D22" s="4"/>
      <c r="E22" s="4"/>
      <c r="F22" s="4"/>
      <c r="G22" s="4"/>
      <c r="H22" s="5"/>
      <c r="I22" s="154">
        <f>SUM(I7:I21)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I2"/>
    <mergeCell ref="A3:I3"/>
    <mergeCell ref="A4:I4"/>
    <mergeCell ref="A7:I7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6.0"/>
    <col customWidth="1" min="4" max="4" width="10.0"/>
    <col customWidth="1" min="5" max="5" width="12.0"/>
    <col customWidth="1" min="6" max="6" width="28.0"/>
    <col customWidth="1" min="7" max="7" width="10.0"/>
    <col customWidth="1" min="8" max="8" width="34.0"/>
    <col customWidth="1" min="9" max="9" width="12.0"/>
  </cols>
  <sheetData>
    <row r="1" ht="3.75" customHeight="1">
      <c r="A1" s="45"/>
      <c r="B1" s="45"/>
      <c r="C1" s="45"/>
      <c r="D1" s="45"/>
      <c r="E1" s="45"/>
      <c r="F1" s="45"/>
      <c r="G1" s="45"/>
      <c r="H1" s="45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46" t="s">
        <v>187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47" t="s">
        <v>171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8" t="s">
        <v>172</v>
      </c>
      <c r="B4" s="4"/>
      <c r="C4" s="4"/>
      <c r="D4" s="4"/>
      <c r="E4" s="4"/>
      <c r="F4" s="4"/>
      <c r="G4" s="4"/>
      <c r="H4" s="4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.0" customHeight="1">
      <c r="A5" s="45"/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49" t="s">
        <v>173</v>
      </c>
      <c r="B6" s="49" t="s">
        <v>36</v>
      </c>
      <c r="C6" s="49" t="s">
        <v>37</v>
      </c>
      <c r="D6" s="49" t="s">
        <v>38</v>
      </c>
      <c r="E6" s="49" t="s">
        <v>39</v>
      </c>
      <c r="F6" s="49" t="s">
        <v>40</v>
      </c>
      <c r="G6" s="49" t="s">
        <v>41</v>
      </c>
      <c r="H6" s="49" t="s">
        <v>42</v>
      </c>
      <c r="I6" s="49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75" customHeight="1">
      <c r="A7" s="120" t="s">
        <v>180</v>
      </c>
      <c r="B7" s="4"/>
      <c r="C7" s="4"/>
      <c r="D7" s="4"/>
      <c r="E7" s="4"/>
      <c r="F7" s="4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121"/>
      <c r="B8" s="121"/>
      <c r="C8" s="121"/>
      <c r="D8" s="121"/>
      <c r="E8" s="121"/>
      <c r="F8" s="121"/>
      <c r="G8" s="121"/>
      <c r="H8" s="121"/>
      <c r="I8" s="1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122"/>
      <c r="B9" s="122"/>
      <c r="C9" s="122"/>
      <c r="D9" s="122"/>
      <c r="E9" s="122"/>
      <c r="F9" s="122"/>
      <c r="G9" s="122"/>
      <c r="H9" s="122"/>
      <c r="I9" s="1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75" customHeight="1">
      <c r="A10" s="121"/>
      <c r="B10" s="121"/>
      <c r="C10" s="121"/>
      <c r="D10" s="121"/>
      <c r="E10" s="121"/>
      <c r="F10" s="121"/>
      <c r="G10" s="121"/>
      <c r="H10" s="121"/>
      <c r="I10" s="1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21"/>
      <c r="B14" s="121"/>
      <c r="C14" s="121"/>
      <c r="D14" s="121"/>
      <c r="E14" s="121"/>
      <c r="F14" s="121"/>
      <c r="G14" s="121"/>
      <c r="H14" s="121"/>
      <c r="I14" s="1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21"/>
      <c r="B16" s="121"/>
      <c r="C16" s="121"/>
      <c r="D16" s="121"/>
      <c r="E16" s="121"/>
      <c r="F16" s="121"/>
      <c r="G16" s="121"/>
      <c r="H16" s="121"/>
      <c r="I16" s="12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60" t="s">
        <v>174</v>
      </c>
      <c r="B22" s="4"/>
      <c r="C22" s="4"/>
      <c r="D22" s="4"/>
      <c r="E22" s="4"/>
      <c r="F22" s="4"/>
      <c r="G22" s="4"/>
      <c r="H22" s="5"/>
      <c r="I22" s="155">
        <f>SUM(I7:I21)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I2"/>
    <mergeCell ref="A3:I3"/>
    <mergeCell ref="A4:I4"/>
    <mergeCell ref="A7:I7"/>
    <mergeCell ref="A22:H22"/>
  </mergeCells>
  <printOptions/>
  <pageMargins bottom="1.0" footer="0.0" header="0.0" left="0.75" right="0.75" top="1.0"/>
  <pageSetup paperSize="9" orientation="portrait"/>
  <drawing r:id="rId1"/>
</worksheet>
</file>