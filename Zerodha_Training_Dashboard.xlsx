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SUMIFS(Data!$I$2:$I$200,Data!$A$2:$A$200,"July 2026",Data!$F$2:$F$200,"*Gaurav*")</f>
        <v/>
      </c>
      <c r="E26" s="185" t="n"/>
      <c r="F26" s="184">
        <f>SUMIFS(Data!$I$2:$I$200,Data!$A$2:$A$200,"July 2026",Data!$F$2:$F$200,"*Raju*")</f>
        <v/>
      </c>
      <c r="G26" s="185" t="n"/>
      <c r="H26" s="184">
        <f>SUMIFS(Data!$I$2:$I$200,Data!$A$2:$A$200,"July 2026",Data!$F$2:$F$200,"*Freeda*")</f>
        <v/>
      </c>
      <c r="I26" s="185" t="n"/>
      <c r="J26" s="184">
        <f>SUMIFS(Data!$I$2:$I$200,Data!$A$2:$A$200,"July 2026",Data!$F$2:$F$200,"*Harish*")</f>
        <v/>
      </c>
      <c r="K26" s="185" t="n"/>
      <c r="L26" s="184">
        <f>SUMIFS(Data!$I$2:$I$200,Data!$A$2:$A$200,"July 2026",Data!$F$2:$F$200,"*Girish*")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41">
        <f>IFERROR(_xlfn.FILTER(Data!$A$2:$A$1000, ((Data!$A$2:$A$1000=$D$6)+($D$6="All Months")) * (Data!$A$2:$A$1000&lt;&gt;"")), "")</f>
        <v/>
      </c>
      <c r="C64" s="41">
        <f>IFERROR(_xlfn.FILTER(Data!$B$2:$B$1000, ((Data!$A$2:$A$1000=$D$6)+($D$6="All Months")) * (Data!$A$2:$A$1000&lt;&gt;"")), "")</f>
        <v/>
      </c>
      <c r="D64" s="34" t="n"/>
      <c r="E64" s="41">
        <f>IFERROR(_xlfn.FILTER(Data!$C$2:$C$1000, ((Data!$A$2:$A$1000=$D$6)+($D$6="All Months")) * (Data!$A$2:$A$1000&lt;&gt;"")), "")</f>
        <v/>
      </c>
      <c r="F64" s="34" t="n"/>
      <c r="G64" s="41">
        <f>IFERROR(_xlfn.FILTER(Data!$D$2:$D$1000, ((Data!$A$2:$A$1000=$D$6)+($D$6="All Months")) * (Data!$A$2:$A$1000&lt;&gt;"")), "")</f>
        <v/>
      </c>
      <c r="H64" s="41">
        <f>IFERROR(_xlfn.FILTER(Data!$E$2:$E$1000, ((Data!$A$2:$A$1000=$D$6)+($D$6="All Months")) * (Data!$A$2:$A$1000&lt;&gt;"")), "")</f>
        <v/>
      </c>
      <c r="I64" s="34" t="n"/>
      <c r="J64" s="41">
        <f>IFERROR(_xlfn.FILTER(Data!$F$2:$F$1000, ((Data!$A$2:$A$1000=$D$6)+($D$6="All Months")) * (Data!$A$2:$A$1000&lt;&gt;"")), "")</f>
        <v/>
      </c>
      <c r="K64" s="34" t="n"/>
      <c r="L64" s="41">
        <f>IFERROR(_xlfn.FILTER(Data!$G$2:$G$1000, ((Data!$A$2:$A$1000=$D$6)+($D$6="All Months")) * (Data!$A$2:$A$1000&lt;&gt;"")), "")</f>
        <v/>
      </c>
      <c r="M64" s="34" t="n"/>
      <c r="N64" s="41">
        <f>IFERROR(_xlfn.FILTER(Data!$H$2:$H$1000, ((Data!$A$2:$A$1000=$D$6)+($D$6="All Months")) * (Data!$A$2:$A$1000&lt;&gt;"")), "")</f>
        <v/>
      </c>
      <c r="O64" s="34" t="n"/>
      <c r="P64" s="34" t="n"/>
      <c r="Q64" s="41">
        <f>IFERROR(_xlfn.FILTER(Data!$I$2:$I$1000, ((Data!$A$2:$A$1000=$D$6)+($D$6="All Months")) * (Data!$A$2:$A$1000&lt;&gt;"")), "")</f>
        <v/>
      </c>
      <c r="R64" s="34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42" t="n"/>
      <c r="C65" s="42" t="n"/>
      <c r="D65" s="29" t="n"/>
      <c r="E65" s="42" t="n"/>
      <c r="F65" s="29" t="n"/>
      <c r="G65" s="42" t="n"/>
      <c r="H65" s="42" t="n"/>
      <c r="I65" s="29" t="n"/>
      <c r="J65" s="42" t="n"/>
      <c r="K65" s="29" t="n"/>
      <c r="L65" s="42" t="n"/>
      <c r="M65" s="29" t="n"/>
      <c r="N65" s="42" t="n"/>
      <c r="O65" s="29" t="n"/>
      <c r="P65" s="29" t="n"/>
      <c r="Q65" s="42" t="n"/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43" t="n"/>
      <c r="C66" s="43" t="n"/>
      <c r="D66" s="34" t="n"/>
      <c r="E66" s="43" t="n"/>
      <c r="F66" s="34" t="n"/>
      <c r="G66" s="43" t="n"/>
      <c r="H66" s="43" t="n"/>
      <c r="I66" s="34" t="n"/>
      <c r="J66" s="43" t="n"/>
      <c r="K66" s="34" t="n"/>
      <c r="L66" s="43" t="n"/>
      <c r="M66" s="34" t="n"/>
      <c r="N66" s="43" t="n"/>
      <c r="O66" s="34" t="n"/>
      <c r="P66" s="34" t="n"/>
      <c r="Q66" s="43" t="n"/>
      <c r="R66" s="34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42" t="n"/>
      <c r="C67" s="42" t="n"/>
      <c r="D67" s="29" t="n"/>
      <c r="E67" s="42" t="n"/>
      <c r="F67" s="29" t="n"/>
      <c r="G67" s="42" t="n"/>
      <c r="H67" s="42" t="n"/>
      <c r="I67" s="29" t="n"/>
      <c r="J67" s="42" t="n"/>
      <c r="K67" s="29" t="n"/>
      <c r="L67" s="42" t="n"/>
      <c r="M67" s="29" t="n"/>
      <c r="N67" s="42" t="n"/>
      <c r="O67" s="29" t="n"/>
      <c r="P67" s="29" t="n"/>
      <c r="Q67" s="42" t="n"/>
      <c r="R67" s="29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43" t="n"/>
      <c r="C68" s="43" t="n"/>
      <c r="D68" s="34" t="n"/>
      <c r="E68" s="43" t="n"/>
      <c r="F68" s="34" t="n"/>
      <c r="G68" s="43" t="n"/>
      <c r="H68" s="43" t="n"/>
      <c r="I68" s="34" t="n"/>
      <c r="J68" s="43" t="n"/>
      <c r="K68" s="34" t="n"/>
      <c r="L68" s="43" t="n"/>
      <c r="M68" s="34" t="n"/>
      <c r="N68" s="43" t="n"/>
      <c r="O68" s="34" t="n"/>
      <c r="P68" s="34" t="n"/>
      <c r="Q68" s="43" t="n"/>
      <c r="R68" s="34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42" t="n"/>
      <c r="C69" s="42" t="n"/>
      <c r="D69" s="29" t="n"/>
      <c r="E69" s="42" t="n"/>
      <c r="F69" s="29" t="n"/>
      <c r="G69" s="42" t="n"/>
      <c r="H69" s="42" t="n"/>
      <c r="I69" s="29" t="n"/>
      <c r="J69" s="42" t="n"/>
      <c r="K69" s="29" t="n"/>
      <c r="L69" s="42" t="n"/>
      <c r="M69" s="29" t="n"/>
      <c r="N69" s="42" t="n"/>
      <c r="O69" s="29" t="n"/>
      <c r="P69" s="29" t="n"/>
      <c r="Q69" s="42" t="n"/>
      <c r="R69" s="29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43" t="n"/>
      <c r="C70" s="43" t="n"/>
      <c r="D70" s="34" t="n"/>
      <c r="E70" s="43" t="n"/>
      <c r="F70" s="34" t="n"/>
      <c r="G70" s="43" t="n"/>
      <c r="H70" s="43" t="n"/>
      <c r="I70" s="34" t="n"/>
      <c r="J70" s="43" t="n"/>
      <c r="K70" s="34" t="n"/>
      <c r="L70" s="43" t="n"/>
      <c r="M70" s="34" t="n"/>
      <c r="N70" s="43" t="n"/>
      <c r="O70" s="34" t="n"/>
      <c r="P70" s="34" t="n"/>
      <c r="Q70" s="43" t="n"/>
      <c r="R70" s="34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42" t="n"/>
      <c r="C71" s="42" t="n"/>
      <c r="D71" s="29" t="n"/>
      <c r="E71" s="42" t="n"/>
      <c r="F71" s="29" t="n"/>
      <c r="G71" s="42" t="n"/>
      <c r="H71" s="42" t="n"/>
      <c r="I71" s="29" t="n"/>
      <c r="J71" s="42" t="n"/>
      <c r="K71" s="29" t="n"/>
      <c r="L71" s="42" t="n"/>
      <c r="M71" s="29" t="n"/>
      <c r="N71" s="42" t="n"/>
      <c r="O71" s="29" t="n"/>
      <c r="P71" s="29" t="n"/>
      <c r="Q71" s="42" t="n"/>
      <c r="R71" s="29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43" t="n"/>
      <c r="C72" s="43" t="n"/>
      <c r="D72" s="34" t="n"/>
      <c r="E72" s="43" t="n"/>
      <c r="F72" s="34" t="n"/>
      <c r="G72" s="43" t="n"/>
      <c r="H72" s="43" t="n"/>
      <c r="I72" s="34" t="n"/>
      <c r="J72" s="43" t="n"/>
      <c r="K72" s="34" t="n"/>
      <c r="L72" s="43" t="n"/>
      <c r="M72" s="34" t="n"/>
      <c r="N72" s="43" t="n"/>
      <c r="O72" s="34" t="n"/>
      <c r="P72" s="34" t="n"/>
      <c r="Q72" s="43" t="n"/>
      <c r="R72" s="34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42" t="n"/>
      <c r="C73" s="42" t="n"/>
      <c r="D73" s="29" t="n"/>
      <c r="E73" s="42" t="n"/>
      <c r="F73" s="29" t="n"/>
      <c r="G73" s="42" t="n"/>
      <c r="H73" s="42" t="n"/>
      <c r="I73" s="29" t="n"/>
      <c r="J73" s="42" t="n"/>
      <c r="K73" s="29" t="n"/>
      <c r="L73" s="42" t="n"/>
      <c r="M73" s="29" t="n"/>
      <c r="N73" s="42" t="n"/>
      <c r="O73" s="29" t="n"/>
      <c r="P73" s="29" t="n"/>
      <c r="Q73" s="42" t="n"/>
      <c r="R73" s="29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43" t="n"/>
      <c r="C74" s="43" t="n"/>
      <c r="D74" s="34" t="n"/>
      <c r="E74" s="43" t="n"/>
      <c r="F74" s="34" t="n"/>
      <c r="G74" s="43" t="n"/>
      <c r="H74" s="43" t="n"/>
      <c r="I74" s="34" t="n"/>
      <c r="J74" s="43" t="n"/>
      <c r="K74" s="34" t="n"/>
      <c r="L74" s="43" t="n"/>
      <c r="M74" s="34" t="n"/>
      <c r="N74" s="43" t="n"/>
      <c r="O74" s="34" t="n"/>
      <c r="P74" s="34" t="n"/>
      <c r="Q74" s="43" t="n"/>
      <c r="R74" s="34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42" t="n"/>
      <c r="C75" s="42" t="n"/>
      <c r="D75" s="29" t="n"/>
      <c r="E75" s="42" t="n"/>
      <c r="F75" s="29" t="n"/>
      <c r="G75" s="42" t="n"/>
      <c r="H75" s="42" t="n"/>
      <c r="I75" s="29" t="n"/>
      <c r="J75" s="42" t="n"/>
      <c r="K75" s="29" t="n"/>
      <c r="L75" s="42" t="n"/>
      <c r="M75" s="29" t="n"/>
      <c r="N75" s="42" t="n"/>
      <c r="O75" s="29" t="n"/>
      <c r="P75" s="29" t="n"/>
      <c r="Q75" s="42" t="n"/>
      <c r="R75" s="29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43" t="n"/>
      <c r="C76" s="43" t="n"/>
      <c r="D76" s="34" t="n"/>
      <c r="E76" s="43" t="n"/>
      <c r="F76" s="34" t="n"/>
      <c r="G76" s="43" t="n"/>
      <c r="H76" s="43" t="n"/>
      <c r="I76" s="34" t="n"/>
      <c r="J76" s="43" t="n"/>
      <c r="K76" s="34" t="n"/>
      <c r="L76" s="43" t="n"/>
      <c r="M76" s="34" t="n"/>
      <c r="N76" s="43" t="n"/>
      <c r="O76" s="34" t="n"/>
      <c r="P76" s="34" t="n"/>
      <c r="Q76" s="43" t="n"/>
      <c r="R76" s="34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42" t="n"/>
      <c r="C77" s="42" t="n"/>
      <c r="D77" s="29" t="n"/>
      <c r="E77" s="42" t="n"/>
      <c r="F77" s="29" t="n"/>
      <c r="G77" s="42" t="n"/>
      <c r="H77" s="42" t="n"/>
      <c r="I77" s="29" t="n"/>
      <c r="J77" s="42" t="n"/>
      <c r="K77" s="29" t="n"/>
      <c r="L77" s="42" t="n"/>
      <c r="M77" s="29" t="n"/>
      <c r="N77" s="42" t="n"/>
      <c r="O77" s="29" t="n"/>
      <c r="P77" s="29" t="n"/>
      <c r="Q77" s="42" t="n"/>
      <c r="R77" s="29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43" t="n"/>
      <c r="C78" s="43" t="n"/>
      <c r="D78" s="34" t="n"/>
      <c r="E78" s="43" t="n"/>
      <c r="F78" s="34" t="n"/>
      <c r="G78" s="43" t="n"/>
      <c r="H78" s="43" t="n"/>
      <c r="I78" s="34" t="n"/>
      <c r="J78" s="43" t="n"/>
      <c r="K78" s="34" t="n"/>
      <c r="L78" s="43" t="n"/>
      <c r="M78" s="34" t="n"/>
      <c r="N78" s="43" t="n"/>
      <c r="O78" s="34" t="n"/>
      <c r="P78" s="34" t="n"/>
      <c r="Q78" s="43" t="n"/>
      <c r="R78" s="34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42" t="n"/>
      <c r="C79" s="42" t="n"/>
      <c r="D79" s="29" t="n"/>
      <c r="E79" s="42" t="n"/>
      <c r="F79" s="29" t="n"/>
      <c r="G79" s="42" t="n"/>
      <c r="H79" s="42" t="n"/>
      <c r="I79" s="29" t="n"/>
      <c r="J79" s="42" t="n"/>
      <c r="K79" s="29" t="n"/>
      <c r="L79" s="42" t="n"/>
      <c r="M79" s="29" t="n"/>
      <c r="N79" s="42" t="n"/>
      <c r="O79" s="29" t="n"/>
      <c r="P79" s="29" t="n"/>
      <c r="Q79" s="42" t="n"/>
      <c r="R79" s="29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43" t="n"/>
      <c r="C80" s="43" t="n"/>
      <c r="D80" s="34" t="n"/>
      <c r="E80" s="43" t="n"/>
      <c r="F80" s="34" t="n"/>
      <c r="G80" s="43" t="n"/>
      <c r="H80" s="43" t="n"/>
      <c r="I80" s="34" t="n"/>
      <c r="J80" s="43" t="n"/>
      <c r="K80" s="34" t="n"/>
      <c r="L80" s="43" t="n"/>
      <c r="M80" s="34" t="n"/>
      <c r="N80" s="43" t="n"/>
      <c r="O80" s="34" t="n"/>
      <c r="P80" s="34" t="n"/>
      <c r="Q80" s="43" t="n"/>
      <c r="R80" s="34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42" t="n"/>
      <c r="C81" s="42" t="n"/>
      <c r="D81" s="29" t="n"/>
      <c r="E81" s="42" t="n"/>
      <c r="F81" s="29" t="n"/>
      <c r="G81" s="42" t="n"/>
      <c r="H81" s="42" t="n"/>
      <c r="I81" s="29" t="n"/>
      <c r="J81" s="42" t="n"/>
      <c r="K81" s="29" t="n"/>
      <c r="L81" s="42" t="n"/>
      <c r="M81" s="29" t="n"/>
      <c r="N81" s="42" t="n"/>
      <c r="O81" s="29" t="n"/>
      <c r="P81" s="29" t="n"/>
      <c r="Q81" s="42" t="n"/>
      <c r="R81" s="29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43" t="n"/>
      <c r="C82" s="43" t="n"/>
      <c r="D82" s="34" t="n"/>
      <c r="E82" s="43" t="n"/>
      <c r="F82" s="34" t="n"/>
      <c r="G82" s="43" t="n"/>
      <c r="H82" s="43" t="n"/>
      <c r="I82" s="34" t="n"/>
      <c r="J82" s="43" t="n"/>
      <c r="K82" s="34" t="n"/>
      <c r="L82" s="43" t="n"/>
      <c r="M82" s="34" t="n"/>
      <c r="N82" s="43" t="n"/>
      <c r="O82" s="34" t="n"/>
      <c r="P82" s="34" t="n"/>
      <c r="Q82" s="43" t="n"/>
      <c r="R82" s="34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42" t="n"/>
      <c r="C83" s="42" t="n"/>
      <c r="D83" s="29" t="n"/>
      <c r="E83" s="42" t="n"/>
      <c r="F83" s="29" t="n"/>
      <c r="G83" s="42" t="n"/>
      <c r="H83" s="42" t="n"/>
      <c r="I83" s="29" t="n"/>
      <c r="J83" s="42" t="n"/>
      <c r="K83" s="29" t="n"/>
      <c r="L83" s="42" t="n"/>
      <c r="M83" s="29" t="n"/>
      <c r="N83" s="42" t="n"/>
      <c r="O83" s="29" t="n"/>
      <c r="P83" s="29" t="n"/>
      <c r="Q83" s="42" t="n"/>
      <c r="R83" s="29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43" t="n"/>
      <c r="C84" s="43" t="n"/>
      <c r="D84" s="34" t="n"/>
      <c r="E84" s="43" t="n"/>
      <c r="F84" s="34" t="n"/>
      <c r="G84" s="43" t="n"/>
      <c r="H84" s="43" t="n"/>
      <c r="I84" s="34" t="n"/>
      <c r="J84" s="43" t="n"/>
      <c r="K84" s="34" t="n"/>
      <c r="L84" s="43" t="n"/>
      <c r="M84" s="34" t="n"/>
      <c r="N84" s="43" t="n"/>
      <c r="O84" s="34" t="n"/>
      <c r="P84" s="34" t="n"/>
      <c r="Q84" s="43" t="n"/>
      <c r="R84" s="34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42" t="n"/>
      <c r="C85" s="42" t="n"/>
      <c r="D85" s="29" t="n"/>
      <c r="E85" s="42" t="n"/>
      <c r="F85" s="29" t="n"/>
      <c r="G85" s="42" t="n"/>
      <c r="H85" s="42" t="n"/>
      <c r="I85" s="29" t="n"/>
      <c r="J85" s="42" t="n"/>
      <c r="K85" s="29" t="n"/>
      <c r="L85" s="42" t="n"/>
      <c r="M85" s="29" t="n"/>
      <c r="N85" s="42" t="n"/>
      <c r="O85" s="29" t="n"/>
      <c r="P85" s="29" t="n"/>
      <c r="Q85" s="42" t="n"/>
      <c r="R85" s="29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43" t="n"/>
      <c r="C86" s="43" t="n"/>
      <c r="D86" s="34" t="n"/>
      <c r="E86" s="43" t="n"/>
      <c r="F86" s="34" t="n"/>
      <c r="G86" s="43" t="n"/>
      <c r="H86" s="43" t="n"/>
      <c r="I86" s="34" t="n"/>
      <c r="J86" s="43" t="n"/>
      <c r="K86" s="34" t="n"/>
      <c r="L86" s="43" t="n"/>
      <c r="M86" s="34" t="n"/>
      <c r="N86" s="43" t="n"/>
      <c r="O86" s="34" t="n"/>
      <c r="P86" s="34" t="n"/>
      <c r="Q86" s="43" t="n"/>
      <c r="R86" s="34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42" t="n"/>
      <c r="C87" s="42" t="n"/>
      <c r="D87" s="29" t="n"/>
      <c r="E87" s="42" t="n"/>
      <c r="F87" s="29" t="n"/>
      <c r="G87" s="42" t="n"/>
      <c r="H87" s="42" t="n"/>
      <c r="I87" s="29" t="n"/>
      <c r="J87" s="42" t="n"/>
      <c r="K87" s="29" t="n"/>
      <c r="L87" s="42" t="n"/>
      <c r="M87" s="29" t="n"/>
      <c r="N87" s="42" t="n"/>
      <c r="O87" s="29" t="n"/>
      <c r="P87" s="29" t="n"/>
      <c r="Q87" s="42" t="n"/>
      <c r="R87" s="29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43" t="n"/>
      <c r="C88" s="43" t="n"/>
      <c r="D88" s="34" t="n"/>
      <c r="E88" s="43" t="n"/>
      <c r="F88" s="34" t="n"/>
      <c r="G88" s="43" t="n"/>
      <c r="H88" s="43" t="n"/>
      <c r="I88" s="34" t="n"/>
      <c r="J88" s="43" t="n"/>
      <c r="K88" s="34" t="n"/>
      <c r="L88" s="43" t="n"/>
      <c r="M88" s="34" t="n"/>
      <c r="N88" s="43" t="n"/>
      <c r="O88" s="34" t="n"/>
      <c r="P88" s="34" t="n"/>
      <c r="Q88" s="43" t="n"/>
      <c r="R88" s="34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42" t="n"/>
      <c r="C89" s="42" t="n"/>
      <c r="D89" s="29" t="n"/>
      <c r="E89" s="42" t="n"/>
      <c r="F89" s="29" t="n"/>
      <c r="G89" s="42" t="n"/>
      <c r="H89" s="42" t="n"/>
      <c r="I89" s="29" t="n"/>
      <c r="J89" s="42" t="n"/>
      <c r="K89" s="29" t="n"/>
      <c r="L89" s="42" t="n"/>
      <c r="M89" s="29" t="n"/>
      <c r="N89" s="42" t="n"/>
      <c r="O89" s="29" t="n"/>
      <c r="P89" s="29" t="n"/>
      <c r="Q89" s="42" t="n"/>
      <c r="R89" s="29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43" t="n"/>
      <c r="C90" s="43" t="n"/>
      <c r="D90" s="34" t="n"/>
      <c r="E90" s="43" t="n"/>
      <c r="F90" s="34" t="n"/>
      <c r="G90" s="43" t="n"/>
      <c r="H90" s="43" t="n"/>
      <c r="I90" s="34" t="n"/>
      <c r="J90" s="43" t="n"/>
      <c r="K90" s="34" t="n"/>
      <c r="L90" s="43" t="n"/>
      <c r="M90" s="34" t="n"/>
      <c r="N90" s="43" t="n"/>
      <c r="O90" s="34" t="n"/>
      <c r="P90" s="34" t="n"/>
      <c r="Q90" s="43" t="n"/>
      <c r="R90" s="34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42" t="n"/>
      <c r="C91" s="42" t="n"/>
      <c r="D91" s="29" t="n"/>
      <c r="E91" s="42" t="n"/>
      <c r="F91" s="29" t="n"/>
      <c r="G91" s="42" t="n"/>
      <c r="H91" s="42" t="n"/>
      <c r="I91" s="29" t="n"/>
      <c r="J91" s="42" t="n"/>
      <c r="K91" s="29" t="n"/>
      <c r="L91" s="42" t="n"/>
      <c r="M91" s="29" t="n"/>
      <c r="N91" s="42" t="n"/>
      <c r="O91" s="29" t="n"/>
      <c r="P91" s="29" t="n"/>
      <c r="Q91" s="42" t="n"/>
      <c r="R91" s="29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43" t="n"/>
      <c r="C92" s="43" t="n"/>
      <c r="D92" s="34" t="n"/>
      <c r="E92" s="43" t="n"/>
      <c r="F92" s="34" t="n"/>
      <c r="G92" s="43" t="n"/>
      <c r="H92" s="43" t="n"/>
      <c r="I92" s="34" t="n"/>
      <c r="J92" s="43" t="n"/>
      <c r="K92" s="34" t="n"/>
      <c r="L92" s="43" t="n"/>
      <c r="M92" s="34" t="n"/>
      <c r="N92" s="43" t="n"/>
      <c r="O92" s="34" t="n"/>
      <c r="P92" s="34" t="n"/>
      <c r="Q92" s="43" t="n"/>
      <c r="R92" s="34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42" t="n"/>
      <c r="C93" s="42" t="n"/>
      <c r="D93" s="29" t="n"/>
      <c r="E93" s="42" t="n"/>
      <c r="F93" s="29" t="n"/>
      <c r="G93" s="42" t="n"/>
      <c r="H93" s="42" t="n"/>
      <c r="I93" s="29" t="n"/>
      <c r="J93" s="42" t="n"/>
      <c r="K93" s="29" t="n"/>
      <c r="L93" s="42" t="n"/>
      <c r="M93" s="29" t="n"/>
      <c r="N93" s="42" t="n"/>
      <c r="O93" s="29" t="n"/>
      <c r="P93" s="29" t="n"/>
      <c r="Q93" s="42" t="n"/>
      <c r="R93" s="29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43" t="n"/>
      <c r="C94" s="43" t="n"/>
      <c r="D94" s="34" t="n"/>
      <c r="E94" s="43" t="n"/>
      <c r="F94" s="34" t="n"/>
      <c r="G94" s="43" t="n"/>
      <c r="H94" s="43" t="n"/>
      <c r="I94" s="34" t="n"/>
      <c r="J94" s="43" t="n"/>
      <c r="K94" s="34" t="n"/>
      <c r="L94" s="43" t="n"/>
      <c r="M94" s="34" t="n"/>
      <c r="N94" s="43" t="n"/>
      <c r="O94" s="34" t="n"/>
      <c r="P94" s="34" t="n"/>
      <c r="Q94" s="43" t="n"/>
      <c r="R94" s="34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42" t="n"/>
      <c r="C95" s="42" t="n"/>
      <c r="D95" s="29" t="n"/>
      <c r="E95" s="42" t="n"/>
      <c r="F95" s="29" t="n"/>
      <c r="G95" s="42" t="n"/>
      <c r="H95" s="42" t="n"/>
      <c r="I95" s="29" t="n"/>
      <c r="J95" s="42" t="n"/>
      <c r="K95" s="29" t="n"/>
      <c r="L95" s="42" t="n"/>
      <c r="M95" s="29" t="n"/>
      <c r="N95" s="42" t="n"/>
      <c r="O95" s="29" t="n"/>
      <c r="P95" s="29" t="n"/>
      <c r="Q95" s="42" t="n"/>
      <c r="R95" s="29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43" t="n"/>
      <c r="C96" s="43" t="n"/>
      <c r="D96" s="34" t="n"/>
      <c r="E96" s="43" t="n"/>
      <c r="F96" s="34" t="n"/>
      <c r="G96" s="43" t="n"/>
      <c r="H96" s="43" t="n"/>
      <c r="I96" s="34" t="n"/>
      <c r="J96" s="43" t="n"/>
      <c r="K96" s="34" t="n"/>
      <c r="L96" s="43" t="n"/>
      <c r="M96" s="34" t="n"/>
      <c r="N96" s="43" t="n"/>
      <c r="O96" s="34" t="n"/>
      <c r="P96" s="34" t="n"/>
      <c r="Q96" s="43" t="n"/>
      <c r="R96" s="34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42" t="n"/>
      <c r="C97" s="42" t="n"/>
      <c r="D97" s="29" t="n"/>
      <c r="E97" s="42" t="n"/>
      <c r="F97" s="29" t="n"/>
      <c r="G97" s="42" t="n"/>
      <c r="H97" s="42" t="n"/>
      <c r="I97" s="29" t="n"/>
      <c r="J97" s="42" t="n"/>
      <c r="K97" s="29" t="n"/>
      <c r="L97" s="42" t="n"/>
      <c r="M97" s="29" t="n"/>
      <c r="N97" s="42" t="n"/>
      <c r="O97" s="29" t="n"/>
      <c r="P97" s="29" t="n"/>
      <c r="Q97" s="42" t="n"/>
      <c r="R97" s="29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43" t="n"/>
      <c r="C98" s="43" t="n"/>
      <c r="D98" s="34" t="n"/>
      <c r="E98" s="43" t="n"/>
      <c r="F98" s="34" t="n"/>
      <c r="G98" s="43" t="n"/>
      <c r="H98" s="43" t="n"/>
      <c r="I98" s="34" t="n"/>
      <c r="J98" s="43" t="n"/>
      <c r="K98" s="34" t="n"/>
      <c r="L98" s="43" t="n"/>
      <c r="M98" s="34" t="n"/>
      <c r="N98" s="43" t="n"/>
      <c r="O98" s="34" t="n"/>
      <c r="P98" s="34" t="n"/>
      <c r="Q98" s="43" t="n"/>
      <c r="R98" s="34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42" t="n"/>
      <c r="C99" s="42" t="n"/>
      <c r="D99" s="29" t="n"/>
      <c r="E99" s="42" t="n"/>
      <c r="F99" s="29" t="n"/>
      <c r="G99" s="42" t="n"/>
      <c r="H99" s="42" t="n"/>
      <c r="I99" s="29" t="n"/>
      <c r="J99" s="42" t="n"/>
      <c r="K99" s="29" t="n"/>
      <c r="L99" s="42" t="n"/>
      <c r="M99" s="29" t="n"/>
      <c r="N99" s="42" t="n"/>
      <c r="O99" s="29" t="n"/>
      <c r="P99" s="29" t="n"/>
      <c r="Q99" s="42" t="n"/>
      <c r="R99" s="29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43" t="n"/>
      <c r="C100" s="43" t="n"/>
      <c r="D100" s="34" t="n"/>
      <c r="E100" s="43" t="n"/>
      <c r="F100" s="34" t="n"/>
      <c r="G100" s="43" t="n"/>
      <c r="H100" s="43" t="n"/>
      <c r="I100" s="34" t="n"/>
      <c r="J100" s="43" t="n"/>
      <c r="K100" s="34" t="n"/>
      <c r="L100" s="43" t="n"/>
      <c r="M100" s="34" t="n"/>
      <c r="N100" s="43" t="n"/>
      <c r="O100" s="34" t="n"/>
      <c r="P100" s="34" t="n"/>
      <c r="Q100" s="43" t="n"/>
      <c r="R100" s="34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42" t="n"/>
      <c r="C101" s="42" t="n"/>
      <c r="D101" s="29" t="n"/>
      <c r="E101" s="42" t="n"/>
      <c r="F101" s="29" t="n"/>
      <c r="G101" s="42" t="n"/>
      <c r="H101" s="42" t="n"/>
      <c r="I101" s="29" t="n"/>
      <c r="J101" s="42" t="n"/>
      <c r="K101" s="29" t="n"/>
      <c r="L101" s="42" t="n"/>
      <c r="M101" s="29" t="n"/>
      <c r="N101" s="42" t="n"/>
      <c r="O101" s="29" t="n"/>
      <c r="P101" s="29" t="n"/>
      <c r="Q101" s="42" t="n"/>
      <c r="R101" s="29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43" t="n"/>
      <c r="C102" s="43" t="n"/>
      <c r="D102" s="34" t="n"/>
      <c r="E102" s="43" t="n"/>
      <c r="F102" s="34" t="n"/>
      <c r="G102" s="43" t="n"/>
      <c r="H102" s="43" t="n"/>
      <c r="I102" s="34" t="n"/>
      <c r="J102" s="43" t="n"/>
      <c r="K102" s="34" t="n"/>
      <c r="L102" s="43" t="n"/>
      <c r="M102" s="34" t="n"/>
      <c r="N102" s="43" t="n"/>
      <c r="O102" s="34" t="n"/>
      <c r="P102" s="34" t="n"/>
      <c r="Q102" s="43" t="n"/>
      <c r="R102" s="34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42" t="n"/>
      <c r="C103" s="42" t="n"/>
      <c r="D103" s="29" t="n"/>
      <c r="E103" s="42" t="n"/>
      <c r="F103" s="29" t="n"/>
      <c r="G103" s="42" t="n"/>
      <c r="H103" s="42" t="n"/>
      <c r="I103" s="29" t="n"/>
      <c r="J103" s="42" t="n"/>
      <c r="K103" s="29" t="n"/>
      <c r="L103" s="42" t="n"/>
      <c r="M103" s="29" t="n"/>
      <c r="N103" s="42" t="n"/>
      <c r="O103" s="29" t="n"/>
      <c r="P103" s="29" t="n"/>
      <c r="Q103" s="42" t="n"/>
      <c r="R103" s="29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43" t="n"/>
      <c r="C104" s="43" t="n"/>
      <c r="D104" s="34" t="n"/>
      <c r="E104" s="43" t="n"/>
      <c r="F104" s="34" t="n"/>
      <c r="G104" s="43" t="n"/>
      <c r="H104" s="43" t="n"/>
      <c r="I104" s="34" t="n"/>
      <c r="J104" s="43" t="n"/>
      <c r="K104" s="34" t="n"/>
      <c r="L104" s="43" t="n"/>
      <c r="M104" s="34" t="n"/>
      <c r="N104" s="43" t="n"/>
      <c r="O104" s="34" t="n"/>
      <c r="P104" s="34" t="n"/>
      <c r="Q104" s="43" t="n"/>
      <c r="R104" s="34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42" t="n"/>
      <c r="C105" s="42" t="n"/>
      <c r="D105" s="29" t="n"/>
      <c r="E105" s="42" t="n"/>
      <c r="F105" s="29" t="n"/>
      <c r="G105" s="42" t="n"/>
      <c r="H105" s="42" t="n"/>
      <c r="I105" s="29" t="n"/>
      <c r="J105" s="42" t="n"/>
      <c r="K105" s="29" t="n"/>
      <c r="L105" s="42" t="n"/>
      <c r="M105" s="29" t="n"/>
      <c r="N105" s="42" t="n"/>
      <c r="O105" s="29" t="n"/>
      <c r="P105" s="29" t="n"/>
      <c r="Q105" s="42" t="n"/>
      <c r="R105" s="29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43" t="n"/>
      <c r="C106" s="43" t="n"/>
      <c r="D106" s="34" t="n"/>
      <c r="E106" s="43" t="n"/>
      <c r="F106" s="34" t="n"/>
      <c r="G106" s="43" t="n"/>
      <c r="H106" s="43" t="n"/>
      <c r="I106" s="34" t="n"/>
      <c r="J106" s="43" t="n"/>
      <c r="K106" s="34" t="n"/>
      <c r="L106" s="43" t="n"/>
      <c r="M106" s="34" t="n"/>
      <c r="N106" s="43" t="n"/>
      <c r="O106" s="34" t="n"/>
      <c r="P106" s="34" t="n"/>
      <c r="Q106" s="43" t="n"/>
      <c r="R106" s="34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42" t="n"/>
      <c r="C107" s="42" t="n"/>
      <c r="D107" s="29" t="n"/>
      <c r="E107" s="42" t="n"/>
      <c r="F107" s="29" t="n"/>
      <c r="G107" s="42" t="n"/>
      <c r="H107" s="42" t="n"/>
      <c r="I107" s="29" t="n"/>
      <c r="J107" s="42" t="n"/>
      <c r="K107" s="29" t="n"/>
      <c r="L107" s="42" t="n"/>
      <c r="M107" s="29" t="n"/>
      <c r="N107" s="42" t="n"/>
      <c r="O107" s="29" t="n"/>
      <c r="P107" s="29" t="n"/>
      <c r="Q107" s="42" t="n"/>
      <c r="R107" s="29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43" t="n"/>
      <c r="C108" s="43" t="n"/>
      <c r="D108" s="34" t="n"/>
      <c r="E108" s="43" t="n"/>
      <c r="F108" s="34" t="n"/>
      <c r="G108" s="43" t="n"/>
      <c r="H108" s="43" t="n"/>
      <c r="I108" s="34" t="n"/>
      <c r="J108" s="43" t="n"/>
      <c r="K108" s="34" t="n"/>
      <c r="L108" s="43" t="n"/>
      <c r="M108" s="34" t="n"/>
      <c r="N108" s="43" t="n"/>
      <c r="O108" s="34" t="n"/>
      <c r="P108" s="34" t="n"/>
      <c r="Q108" s="43" t="n"/>
      <c r="R108" s="34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42" t="n"/>
      <c r="C109" s="42" t="n"/>
      <c r="D109" s="29" t="n"/>
      <c r="E109" s="42" t="n"/>
      <c r="F109" s="29" t="n"/>
      <c r="G109" s="42" t="n"/>
      <c r="H109" s="42" t="n"/>
      <c r="I109" s="29" t="n"/>
      <c r="J109" s="42" t="n"/>
      <c r="K109" s="29" t="n"/>
      <c r="L109" s="42" t="n"/>
      <c r="M109" s="29" t="n"/>
      <c r="N109" s="42" t="n"/>
      <c r="O109" s="29" t="n"/>
      <c r="P109" s="29" t="n"/>
      <c r="Q109" s="42" t="n"/>
      <c r="R109" s="29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43" t="n"/>
      <c r="C110" s="43" t="n"/>
      <c r="D110" s="34" t="n"/>
      <c r="E110" s="43" t="n"/>
      <c r="F110" s="34" t="n"/>
      <c r="G110" s="43" t="n"/>
      <c r="H110" s="43" t="n"/>
      <c r="I110" s="34" t="n"/>
      <c r="J110" s="43" t="n"/>
      <c r="K110" s="34" t="n"/>
      <c r="L110" s="43" t="n"/>
      <c r="M110" s="34" t="n"/>
      <c r="N110" s="43" t="n"/>
      <c r="O110" s="34" t="n"/>
      <c r="P110" s="34" t="n"/>
      <c r="Q110" s="43" t="n"/>
      <c r="R110" s="34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42" t="n"/>
      <c r="C111" s="42" t="n"/>
      <c r="D111" s="29" t="n"/>
      <c r="E111" s="42" t="n"/>
      <c r="F111" s="29" t="n"/>
      <c r="G111" s="42" t="n"/>
      <c r="H111" s="42" t="n"/>
      <c r="I111" s="29" t="n"/>
      <c r="J111" s="42" t="n"/>
      <c r="K111" s="29" t="n"/>
      <c r="L111" s="42" t="n"/>
      <c r="M111" s="29" t="n"/>
      <c r="N111" s="42" t="n"/>
      <c r="O111" s="29" t="n"/>
      <c r="P111" s="29" t="n"/>
      <c r="Q111" s="42" t="n"/>
      <c r="R111" s="29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43" t="n"/>
      <c r="C112" s="43" t="n"/>
      <c r="D112" s="34" t="n"/>
      <c r="E112" s="43" t="n"/>
      <c r="F112" s="34" t="n"/>
      <c r="G112" s="43" t="n"/>
      <c r="H112" s="43" t="n"/>
      <c r="I112" s="34" t="n"/>
      <c r="J112" s="43" t="n"/>
      <c r="K112" s="34" t="n"/>
      <c r="L112" s="43" t="n"/>
      <c r="M112" s="34" t="n"/>
      <c r="N112" s="43" t="n"/>
      <c r="O112" s="34" t="n"/>
      <c r="P112" s="34" t="n"/>
      <c r="Q112" s="43" t="n"/>
      <c r="R112" s="34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42" t="n"/>
      <c r="C113" s="42" t="n"/>
      <c r="D113" s="29" t="n"/>
      <c r="E113" s="42" t="n"/>
      <c r="F113" s="29" t="n"/>
      <c r="G113" s="42" t="n"/>
      <c r="H113" s="42" t="n"/>
      <c r="I113" s="29" t="n"/>
      <c r="J113" s="42" t="n"/>
      <c r="K113" s="29" t="n"/>
      <c r="L113" s="42" t="n"/>
      <c r="M113" s="29" t="n"/>
      <c r="N113" s="42" t="n"/>
      <c r="O113" s="29" t="n"/>
      <c r="P113" s="29" t="n"/>
      <c r="Q113" s="42" t="n"/>
      <c r="R113" s="29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43" t="n"/>
      <c r="C114" s="43" t="n"/>
      <c r="D114" s="34" t="n"/>
      <c r="E114" s="43" t="n"/>
      <c r="F114" s="34" t="n"/>
      <c r="G114" s="43" t="n"/>
      <c r="H114" s="43" t="n"/>
      <c r="I114" s="34" t="n"/>
      <c r="J114" s="43" t="n"/>
      <c r="K114" s="34" t="n"/>
      <c r="L114" s="43" t="n"/>
      <c r="M114" s="34" t="n"/>
      <c r="N114" s="43" t="n"/>
      <c r="O114" s="34" t="n"/>
      <c r="P114" s="34" t="n"/>
      <c r="Q114" s="43" t="n"/>
      <c r="R114" s="34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42" t="n"/>
      <c r="C115" s="42" t="n"/>
      <c r="D115" s="29" t="n"/>
      <c r="E115" s="42" t="n"/>
      <c r="F115" s="29" t="n"/>
      <c r="G115" s="42" t="n"/>
      <c r="H115" s="42" t="n"/>
      <c r="I115" s="29" t="n"/>
      <c r="J115" s="42" t="n"/>
      <c r="K115" s="29" t="n"/>
      <c r="L115" s="42" t="n"/>
      <c r="M115" s="29" t="n"/>
      <c r="N115" s="42" t="n"/>
      <c r="O115" s="29" t="n"/>
      <c r="P115" s="29" t="n"/>
      <c r="Q115" s="42" t="n"/>
      <c r="R115" s="29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43" t="n"/>
      <c r="C116" s="43" t="n"/>
      <c r="D116" s="34" t="n"/>
      <c r="E116" s="43" t="n"/>
      <c r="F116" s="34" t="n"/>
      <c r="G116" s="43" t="n"/>
      <c r="H116" s="43" t="n"/>
      <c r="I116" s="34" t="n"/>
      <c r="J116" s="43" t="n"/>
      <c r="K116" s="34" t="n"/>
      <c r="L116" s="43" t="n"/>
      <c r="M116" s="34" t="n"/>
      <c r="N116" s="43" t="n"/>
      <c r="O116" s="34" t="n"/>
      <c r="P116" s="34" t="n"/>
      <c r="Q116" s="43" t="n"/>
      <c r="R116" s="34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42" t="n"/>
      <c r="C117" s="42" t="n"/>
      <c r="D117" s="29" t="n"/>
      <c r="E117" s="42" t="n"/>
      <c r="F117" s="29" t="n"/>
      <c r="G117" s="42" t="n"/>
      <c r="H117" s="42" t="n"/>
      <c r="I117" s="29" t="n"/>
      <c r="J117" s="42" t="n"/>
      <c r="K117" s="29" t="n"/>
      <c r="L117" s="42" t="n"/>
      <c r="M117" s="29" t="n"/>
      <c r="N117" s="42" t="n"/>
      <c r="O117" s="29" t="n"/>
      <c r="P117" s="29" t="n"/>
      <c r="Q117" s="42" t="n"/>
      <c r="R117" s="29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43" t="n"/>
      <c r="C118" s="43" t="n"/>
      <c r="D118" s="34" t="n"/>
      <c r="E118" s="43" t="n"/>
      <c r="F118" s="34" t="n"/>
      <c r="G118" s="43" t="n"/>
      <c r="H118" s="43" t="n"/>
      <c r="I118" s="34" t="n"/>
      <c r="J118" s="43" t="n"/>
      <c r="K118" s="34" t="n"/>
      <c r="L118" s="43" t="n"/>
      <c r="M118" s="34" t="n"/>
      <c r="N118" s="43" t="n"/>
      <c r="O118" s="34" t="n"/>
      <c r="P118" s="34" t="n"/>
      <c r="Q118" s="43" t="n"/>
      <c r="R118" s="34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>
      <c r="A188" s="191" t="inlineStr">
        <is>
          <t>June 2026</t>
        </is>
      </c>
      <c r="B188" s="191" t="inlineStr">
        <is>
          <t>Support Training</t>
        </is>
      </c>
      <c r="C188" s="191" t="inlineStr">
        <is>
          <t>Communicate 360- Renu's team</t>
        </is>
      </c>
      <c r="D188" s="191" t="inlineStr">
        <is>
          <t>2026-06-18</t>
        </is>
      </c>
      <c r="E188" s="191" t="inlineStr">
        <is>
          <t>—</t>
        </is>
      </c>
      <c r="F188" s="191" t="inlineStr">
        <is>
          <t>Freeda Reshma Dsouza</t>
        </is>
      </c>
      <c r="G188" s="191" t="inlineStr">
        <is>
          <t>Offline</t>
        </is>
      </c>
      <c r="H188" s="191" t="inlineStr">
        <is>
          <t>Communicate 360- Renu's team</t>
        </is>
      </c>
      <c r="I188" s="192" t="n">
        <v>2.5</v>
      </c>
    </row>
    <row r="189" ht="15.75" customHeight="1" s="156">
      <c r="A189" s="191" t="inlineStr">
        <is>
          <t>June 2026</t>
        </is>
      </c>
      <c r="B189" s="191" t="inlineStr">
        <is>
          <t>Support Training</t>
        </is>
      </c>
      <c r="C189" s="191" t="inlineStr">
        <is>
          <t>Communicate 360- Renu's team</t>
        </is>
      </c>
      <c r="D189" s="191" t="inlineStr">
        <is>
          <t>2026-06-18</t>
        </is>
      </c>
      <c r="E189" s="191" t="inlineStr">
        <is>
          <t>—</t>
        </is>
      </c>
      <c r="F189" s="191" t="inlineStr">
        <is>
          <t>Freeda Reshma Dsouza</t>
        </is>
      </c>
      <c r="G189" s="191" t="inlineStr">
        <is>
          <t>Offline</t>
        </is>
      </c>
      <c r="H189" s="191" t="inlineStr">
        <is>
          <t>Communicate 360- Renu's team</t>
        </is>
      </c>
      <c r="I189" s="192" t="n">
        <v>2.5</v>
      </c>
    </row>
    <row r="190" ht="15.75" customHeight="1" s="156">
      <c r="A190" s="191" t="inlineStr">
        <is>
          <t>June 2026</t>
        </is>
      </c>
      <c r="B190" s="191" t="inlineStr">
        <is>
          <t>Support Training</t>
        </is>
      </c>
      <c r="C190" s="191" t="inlineStr">
        <is>
          <t>Communicate 360- Renu's team</t>
        </is>
      </c>
      <c r="D190" s="191" t="inlineStr">
        <is>
          <t>2026-06-19</t>
        </is>
      </c>
      <c r="E190" s="191" t="inlineStr">
        <is>
          <t>—</t>
        </is>
      </c>
      <c r="F190" s="191" t="inlineStr">
        <is>
          <t>Freeda Reshma Dsouza</t>
        </is>
      </c>
      <c r="G190" s="191" t="inlineStr">
        <is>
          <t>Offline</t>
        </is>
      </c>
      <c r="H190" s="191" t="inlineStr">
        <is>
          <t>Communicate 360- Renu's team</t>
        </is>
      </c>
      <c r="I190" s="192" t="n">
        <v>2.75</v>
      </c>
    </row>
    <row r="191" ht="15.75" customHeight="1" s="156">
      <c r="A191" s="191" t="inlineStr">
        <is>
          <t>June 2026</t>
        </is>
      </c>
      <c r="B191" s="191" t="inlineStr">
        <is>
          <t>Support Training</t>
        </is>
      </c>
      <c r="C191" s="191" t="inlineStr">
        <is>
          <t>Communicate 360- Renu's team</t>
        </is>
      </c>
      <c r="D191" s="191" t="inlineStr">
        <is>
          <t>2026-06-19</t>
        </is>
      </c>
      <c r="E191" s="191" t="inlineStr">
        <is>
          <t>—</t>
        </is>
      </c>
      <c r="F191" s="191" t="inlineStr">
        <is>
          <t>Freeda Reshma Dsouza</t>
        </is>
      </c>
      <c r="G191" s="191" t="inlineStr">
        <is>
          <t>Offline</t>
        </is>
      </c>
      <c r="H191" s="191" t="inlineStr">
        <is>
          <t>Communicate 360- Renu's team</t>
        </is>
      </c>
      <c r="I191" s="192" t="n">
        <v>2.75</v>
      </c>
    </row>
    <row r="192" ht="15.75" customHeight="1" s="156">
      <c r="A192" s="191" t="inlineStr">
        <is>
          <t>June 2026</t>
        </is>
      </c>
      <c r="B192" s="191" t="inlineStr">
        <is>
          <t>Support Training</t>
        </is>
      </c>
      <c r="C192" s="191" t="inlineStr">
        <is>
          <t>Tickets team Communicate 360 training</t>
        </is>
      </c>
      <c r="D192" s="191" t="inlineStr">
        <is>
          <t>2026-06-29</t>
        </is>
      </c>
      <c r="E192" s="191" t="inlineStr">
        <is>
          <t>—</t>
        </is>
      </c>
      <c r="F192" s="191" t="inlineStr">
        <is>
          <t>Freeda Reshma Dsouza</t>
        </is>
      </c>
      <c r="G192" s="191" t="inlineStr">
        <is>
          <t>Offline</t>
        </is>
      </c>
      <c r="H192" s="191" t="inlineStr">
        <is>
          <t>Tickets team Communicate 360 training</t>
        </is>
      </c>
      <c r="I192" s="192" t="n">
        <v>2.5</v>
      </c>
    </row>
    <row r="193" ht="15.75" customHeight="1" s="156">
      <c r="A193" s="191" t="inlineStr">
        <is>
          <t>June 2026</t>
        </is>
      </c>
      <c r="B193" s="191" t="inlineStr">
        <is>
          <t>Support Training</t>
        </is>
      </c>
      <c r="C193" s="191" t="inlineStr">
        <is>
          <t>Tickets team communicate 360 training</t>
        </is>
      </c>
      <c r="D193" s="191" t="inlineStr">
        <is>
          <t>2026-06-30</t>
        </is>
      </c>
      <c r="E193" s="191" t="inlineStr">
        <is>
          <t>—</t>
        </is>
      </c>
      <c r="F193" s="191" t="inlineStr">
        <is>
          <t>Freeda Reshma Dsouza</t>
        </is>
      </c>
      <c r="G193" s="191" t="inlineStr">
        <is>
          <t>Offline</t>
        </is>
      </c>
      <c r="H193" s="191" t="inlineStr">
        <is>
          <t>Tickets team communicate 360 training</t>
        </is>
      </c>
      <c r="I193" s="192" t="n">
        <v>2.5</v>
      </c>
    </row>
    <row r="194" ht="15.75" customHeight="1" s="156">
      <c r="A194" s="191" t="inlineStr">
        <is>
          <t>June 2026</t>
        </is>
      </c>
      <c r="B194" s="191" t="inlineStr">
        <is>
          <t>Support Training</t>
        </is>
      </c>
      <c r="C194" s="191" t="inlineStr">
        <is>
          <t>Tickets team communicate 360 training</t>
        </is>
      </c>
      <c r="D194" s="191" t="inlineStr">
        <is>
          <t>2026-06-30</t>
        </is>
      </c>
      <c r="E194" s="191" t="inlineStr">
        <is>
          <t>—</t>
        </is>
      </c>
      <c r="F194" s="191" t="inlineStr">
        <is>
          <t>Freeda Reshma Dsouza</t>
        </is>
      </c>
      <c r="G194" s="191" t="inlineStr">
        <is>
          <t>Offline</t>
        </is>
      </c>
      <c r="H194" s="191" t="inlineStr">
        <is>
          <t>Tickets team communicate 360 training</t>
        </is>
      </c>
      <c r="I194" s="192" t="n">
        <v>2.5</v>
      </c>
    </row>
    <row r="195" ht="15.75" customHeight="1" s="156">
      <c r="A195" s="191" t="inlineStr">
        <is>
          <t>June 2026</t>
        </is>
      </c>
      <c r="B195" s="191" t="inlineStr">
        <is>
          <t>Support Training</t>
        </is>
      </c>
      <c r="C195" s="191" t="inlineStr">
        <is>
          <t>NRI Sales and Acop Training session</t>
        </is>
      </c>
      <c r="D195" s="191" t="inlineStr">
        <is>
          <t>2026-06-10</t>
        </is>
      </c>
      <c r="E195" s="191" t="inlineStr">
        <is>
          <t>—</t>
        </is>
      </c>
      <c r="F195" s="191" t="inlineStr">
        <is>
          <t>Girish A</t>
        </is>
      </c>
      <c r="G195" s="191" t="inlineStr">
        <is>
          <t>Offline</t>
        </is>
      </c>
      <c r="H195" s="191" t="inlineStr">
        <is>
          <t>NRI Sales and Acop Training session</t>
        </is>
      </c>
      <c r="I195" s="192" t="n">
        <v>6.5</v>
      </c>
    </row>
    <row r="196" ht="15.75" customHeight="1" s="156">
      <c r="A196" s="191" t="inlineStr">
        <is>
          <t>June 2026</t>
        </is>
      </c>
      <c r="B196" s="191" t="inlineStr">
        <is>
          <t>Support Training</t>
        </is>
      </c>
      <c r="C196" s="191" t="inlineStr">
        <is>
          <t>NRI Sales and Acop Training session</t>
        </is>
      </c>
      <c r="D196" s="191" t="inlineStr">
        <is>
          <t>2026-06-11</t>
        </is>
      </c>
      <c r="E196" s="191" t="inlineStr">
        <is>
          <t>—</t>
        </is>
      </c>
      <c r="F196" s="191" t="inlineStr">
        <is>
          <t>Girish A</t>
        </is>
      </c>
      <c r="G196" s="191" t="inlineStr">
        <is>
          <t>Offline</t>
        </is>
      </c>
      <c r="H196" s="191" t="inlineStr">
        <is>
          <t>NRI Sales and Acop Training session</t>
        </is>
      </c>
      <c r="I196" s="192" t="n">
        <v>6.5</v>
      </c>
    </row>
    <row r="197" ht="15.75" customHeight="1" s="156">
      <c r="A197" s="191" t="inlineStr">
        <is>
          <t>June 2026</t>
        </is>
      </c>
      <c r="B197" s="191" t="inlineStr">
        <is>
          <t>Support Training</t>
        </is>
      </c>
      <c r="C197" s="191" t="inlineStr">
        <is>
          <t>NRI Sales and Acop Training session</t>
        </is>
      </c>
      <c r="D197" s="191" t="inlineStr">
        <is>
          <t>2026-06-12</t>
        </is>
      </c>
      <c r="E197" s="191" t="inlineStr">
        <is>
          <t>—</t>
        </is>
      </c>
      <c r="F197" s="191" t="inlineStr">
        <is>
          <t>Girish A</t>
        </is>
      </c>
      <c r="G197" s="191" t="inlineStr">
        <is>
          <t>Offline</t>
        </is>
      </c>
      <c r="H197" s="191" t="inlineStr">
        <is>
          <t>NRI Sales and Acop Training session</t>
        </is>
      </c>
      <c r="I197" s="192" t="n">
        <v>6.5</v>
      </c>
    </row>
    <row r="198" ht="15.75" customHeight="1" s="156">
      <c r="A198" s="191" t="inlineStr">
        <is>
          <t>June 2026</t>
        </is>
      </c>
      <c r="B198" s="191" t="inlineStr">
        <is>
          <t>Support Training</t>
        </is>
      </c>
      <c r="C198" s="191" t="inlineStr">
        <is>
          <t>NRI Sales and Acop Training session</t>
        </is>
      </c>
      <c r="D198" s="191" t="inlineStr">
        <is>
          <t>2026-06-15</t>
        </is>
      </c>
      <c r="E198" s="191" t="inlineStr">
        <is>
          <t>—</t>
        </is>
      </c>
      <c r="F198" s="191" t="inlineStr">
        <is>
          <t>Girish A</t>
        </is>
      </c>
      <c r="G198" s="191" t="inlineStr">
        <is>
          <t>Offline</t>
        </is>
      </c>
      <c r="H198" s="191" t="inlineStr">
        <is>
          <t>NRI Sales and Acop Training session</t>
        </is>
      </c>
      <c r="I198" s="192" t="n">
        <v>6.5</v>
      </c>
    </row>
    <row r="199" ht="15.75" customHeight="1" s="156">
      <c r="A199" s="191" t="inlineStr">
        <is>
          <t>June 2026</t>
        </is>
      </c>
      <c r="B199" s="191" t="inlineStr">
        <is>
          <t>Support Training</t>
        </is>
      </c>
      <c r="C199" s="191" t="inlineStr">
        <is>
          <t>NRI Sales and Acop Training session</t>
        </is>
      </c>
      <c r="D199" s="191" t="inlineStr">
        <is>
          <t>2026-06-16</t>
        </is>
      </c>
      <c r="E199" s="191" t="inlineStr">
        <is>
          <t>—</t>
        </is>
      </c>
      <c r="F199" s="191" t="inlineStr">
        <is>
          <t>Girish A</t>
        </is>
      </c>
      <c r="G199" s="191" t="inlineStr">
        <is>
          <t>Offline</t>
        </is>
      </c>
      <c r="H199" s="191" t="inlineStr">
        <is>
          <t>NRI Sales and Acop Training session</t>
        </is>
      </c>
      <c r="I199" s="192" t="n">
        <v>6.5</v>
      </c>
    </row>
    <row r="200" ht="15.75" customHeight="1" s="156">
      <c r="A200" s="191" t="inlineStr">
        <is>
          <t>June 2026</t>
        </is>
      </c>
      <c r="B200" s="191" t="inlineStr">
        <is>
          <t>Support Training</t>
        </is>
      </c>
      <c r="C200" s="191" t="inlineStr">
        <is>
          <t>NRI Sales and Acop Training session</t>
        </is>
      </c>
      <c r="D200" s="191" t="inlineStr">
        <is>
          <t>2026-06-17</t>
        </is>
      </c>
      <c r="E200" s="191" t="inlineStr">
        <is>
          <t>—</t>
        </is>
      </c>
      <c r="F200" s="191" t="inlineStr">
        <is>
          <t>Girish A</t>
        </is>
      </c>
      <c r="G200" s="191" t="inlineStr">
        <is>
          <t>Offline</t>
        </is>
      </c>
      <c r="H200" s="191" t="inlineStr">
        <is>
          <t>NRI Sales and Acop Training session</t>
        </is>
      </c>
      <c r="I200" s="192" t="n">
        <v>6.5</v>
      </c>
    </row>
    <row r="201" ht="15.75" customHeight="1" s="156">
      <c r="A201" s="191" t="inlineStr">
        <is>
          <t>June 2026</t>
        </is>
      </c>
      <c r="B201" s="191" t="inlineStr">
        <is>
          <t>Support Training</t>
        </is>
      </c>
      <c r="C201" s="191" t="inlineStr">
        <is>
          <t>NRI Sales and Acop Training session</t>
        </is>
      </c>
      <c r="D201" s="191" t="inlineStr">
        <is>
          <t>2026-06-18</t>
        </is>
      </c>
      <c r="E201" s="191" t="inlineStr">
        <is>
          <t>—</t>
        </is>
      </c>
      <c r="F201" s="191" t="inlineStr">
        <is>
          <t>Girish A</t>
        </is>
      </c>
      <c r="G201" s="191" t="inlineStr">
        <is>
          <t>Offline</t>
        </is>
      </c>
      <c r="H201" s="191" t="inlineStr">
        <is>
          <t>NRI Sales and Acop Training session</t>
        </is>
      </c>
      <c r="I201" s="192" t="n">
        <v>6.5</v>
      </c>
    </row>
    <row r="202" ht="15.75" customHeight="1" s="156">
      <c r="A202" s="191" t="inlineStr">
        <is>
          <t>June 2026</t>
        </is>
      </c>
      <c r="B202" s="191" t="inlineStr">
        <is>
          <t>Support Training</t>
        </is>
      </c>
      <c r="C202" s="191" t="inlineStr">
        <is>
          <t>NRI Sales and Acop Training session</t>
        </is>
      </c>
      <c r="D202" s="191" t="inlineStr">
        <is>
          <t>2026-06-19</t>
        </is>
      </c>
      <c r="E202" s="191" t="inlineStr">
        <is>
          <t>—</t>
        </is>
      </c>
      <c r="F202" s="191" t="inlineStr">
        <is>
          <t>Girish A</t>
        </is>
      </c>
      <c r="G202" s="191" t="inlineStr">
        <is>
          <t>Offline</t>
        </is>
      </c>
      <c r="H202" s="191" t="inlineStr">
        <is>
          <t>NRI Sales and Acop Training session</t>
        </is>
      </c>
      <c r="I202" s="192" t="n">
        <v>6.5</v>
      </c>
    </row>
    <row r="203" ht="15.75" customHeight="1" s="156">
      <c r="A203" s="191" t="inlineStr">
        <is>
          <t>June 2026</t>
        </is>
      </c>
      <c r="B203" s="191" t="inlineStr">
        <is>
          <t>Other</t>
        </is>
      </c>
      <c r="C203" s="191" t="inlineStr">
        <is>
          <t>NRI Sales and Acop Question paper preparation</t>
        </is>
      </c>
      <c r="D203" s="191" t="inlineStr">
        <is>
          <t>2026-06-20</t>
        </is>
      </c>
      <c r="E203" s="191" t="inlineStr">
        <is>
          <t>—</t>
        </is>
      </c>
      <c r="F203" s="191" t="inlineStr">
        <is>
          <t>Girish A</t>
        </is>
      </c>
      <c r="G203" s="191" t="inlineStr">
        <is>
          <t>Offline</t>
        </is>
      </c>
      <c r="H203" s="191" t="inlineStr">
        <is>
          <t>NRI Sales and Acop Question paper preparation</t>
        </is>
      </c>
      <c r="I203" s="192" t="n">
        <v>2.5</v>
      </c>
    </row>
    <row r="204" ht="15.75" customHeight="1" s="156">
      <c r="A204" s="189" t="inlineStr">
        <is>
          <t>June 2026</t>
        </is>
      </c>
      <c r="B204" s="189" t="inlineStr">
        <is>
          <t>Other</t>
        </is>
      </c>
      <c r="C204" s="189" t="inlineStr">
        <is>
          <t>LMS Tool testing and conducting Exam</t>
        </is>
      </c>
      <c r="D204" s="189" t="inlineStr">
        <is>
          <t>2026-06-25</t>
        </is>
      </c>
      <c r="E204" s="189" t="inlineStr">
        <is>
          <t>—</t>
        </is>
      </c>
      <c r="F204" s="189" t="inlineStr">
        <is>
          <t>Girish A</t>
        </is>
      </c>
      <c r="G204" s="189" t="inlineStr">
        <is>
          <t>Online</t>
        </is>
      </c>
      <c r="H204" s="189" t="inlineStr">
        <is>
          <t>LMS Tool testing and conducting Exam</t>
        </is>
      </c>
      <c r="I204" s="190" t="n">
        <v>4</v>
      </c>
    </row>
    <row r="205" ht="15.75" customHeight="1" s="156">
      <c r="A205" s="191" t="inlineStr">
        <is>
          <t>June 2026</t>
        </is>
      </c>
      <c r="B205" s="191" t="inlineStr">
        <is>
          <t>Support Training</t>
        </is>
      </c>
      <c r="C205" s="191" t="inlineStr">
        <is>
          <t>NRI Sales and Acop Training session</t>
        </is>
      </c>
      <c r="D205" s="191" t="inlineStr">
        <is>
          <t>2026-06-22</t>
        </is>
      </c>
      <c r="E205" s="191" t="inlineStr">
        <is>
          <t>—</t>
        </is>
      </c>
      <c r="F205" s="191" t="inlineStr">
        <is>
          <t>Girish A</t>
        </is>
      </c>
      <c r="G205" s="191" t="inlineStr">
        <is>
          <t>Offline</t>
        </is>
      </c>
      <c r="H205" s="191" t="inlineStr">
        <is>
          <t>NRI Sales and Acop Training session</t>
        </is>
      </c>
      <c r="I205" s="192" t="n">
        <v>6.5</v>
      </c>
    </row>
    <row r="206" ht="15.75" customHeight="1" s="156">
      <c r="A206" s="191" t="inlineStr">
        <is>
          <t>June 2026</t>
        </is>
      </c>
      <c r="B206" s="191" t="inlineStr">
        <is>
          <t>Support Training</t>
        </is>
      </c>
      <c r="C206" s="191" t="inlineStr">
        <is>
          <t>NRI Sales and Acop Training session</t>
        </is>
      </c>
      <c r="D206" s="191" t="inlineStr">
        <is>
          <t>2026-06-23</t>
        </is>
      </c>
      <c r="E206" s="191" t="inlineStr">
        <is>
          <t>—</t>
        </is>
      </c>
      <c r="F206" s="191" t="inlineStr">
        <is>
          <t>Girish A</t>
        </is>
      </c>
      <c r="G206" s="191" t="inlineStr">
        <is>
          <t>Offline</t>
        </is>
      </c>
      <c r="H206" s="191" t="inlineStr">
        <is>
          <t>NRI Sales and Acop Training session</t>
        </is>
      </c>
      <c r="I206" s="192" t="n">
        <v>6.5</v>
      </c>
    </row>
    <row r="207" ht="15.75" customHeight="1" s="156">
      <c r="A207" s="189" t="inlineStr">
        <is>
          <t>June 2026</t>
        </is>
      </c>
      <c r="B207" s="189" t="inlineStr">
        <is>
          <t>Support Training</t>
        </is>
      </c>
      <c r="C207" s="189" t="inlineStr">
        <is>
          <t>NRI Sales and Acop Training session (Soft skills)</t>
        </is>
      </c>
      <c r="D207" s="189" t="inlineStr">
        <is>
          <t>2026-06-24</t>
        </is>
      </c>
      <c r="E207" s="189" t="inlineStr">
        <is>
          <t>—</t>
        </is>
      </c>
      <c r="F207" s="189" t="inlineStr">
        <is>
          <t>Girish A</t>
        </is>
      </c>
      <c r="G207" s="189" t="inlineStr">
        <is>
          <t>Online</t>
        </is>
      </c>
      <c r="H207" s="189" t="inlineStr">
        <is>
          <t>NRI Sales and Acop Training session (Soft skills)</t>
        </is>
      </c>
      <c r="I207" s="190" t="n">
        <v>5</v>
      </c>
    </row>
    <row r="208" ht="15.75" customHeight="1" s="156">
      <c r="A208" s="189" t="inlineStr">
        <is>
          <t>June 2026</t>
        </is>
      </c>
      <c r="B208" s="189" t="inlineStr">
        <is>
          <t>Support Training</t>
        </is>
      </c>
      <c r="C208" s="189" t="inlineStr">
        <is>
          <t>NRI Sales and Acop OJT</t>
        </is>
      </c>
      <c r="D208" s="189" t="inlineStr">
        <is>
          <t>2026-06-30</t>
        </is>
      </c>
      <c r="E208" s="189" t="inlineStr">
        <is>
          <t>—</t>
        </is>
      </c>
      <c r="F208" s="189" t="inlineStr">
        <is>
          <t>Girish A</t>
        </is>
      </c>
      <c r="G208" s="189" t="inlineStr">
        <is>
          <t>Online</t>
        </is>
      </c>
      <c r="H208" s="189" t="inlineStr">
        <is>
          <t>NRI Sales and Acop OJT</t>
        </is>
      </c>
      <c r="I208" s="190" t="n">
        <v>2</v>
      </c>
    </row>
    <row r="209" ht="15.75" customHeight="1" s="156">
      <c r="A209" s="191" t="inlineStr">
        <is>
          <t>June 2026</t>
        </is>
      </c>
      <c r="B209" s="191" t="inlineStr">
        <is>
          <t>Support Training</t>
        </is>
      </c>
      <c r="C209" s="191" t="inlineStr">
        <is>
          <t>Soft Skills training - New Hire - NRI sales</t>
        </is>
      </c>
      <c r="D209" s="191" t="inlineStr">
        <is>
          <t>2026-06-24</t>
        </is>
      </c>
      <c r="E209" s="191" t="inlineStr">
        <is>
          <t>—</t>
        </is>
      </c>
      <c r="F209" s="191" t="inlineStr">
        <is>
          <t>Freeda Reshma Dsouza</t>
        </is>
      </c>
      <c r="G209" s="191" t="inlineStr">
        <is>
          <t>Offline</t>
        </is>
      </c>
      <c r="H209" s="191" t="inlineStr">
        <is>
          <t>Soft Skills training - New Hire - NRI sales</t>
        </is>
      </c>
      <c r="I209" s="192" t="n">
        <v>4.5</v>
      </c>
    </row>
    <row r="210" ht="15.75" customHeight="1" s="156">
      <c r="A210" s="191" t="inlineStr">
        <is>
          <t>July 2026</t>
        </is>
      </c>
      <c r="B210" s="191" t="inlineStr">
        <is>
          <t>Support Training</t>
        </is>
      </c>
      <c r="C210" s="191" t="inlineStr">
        <is>
          <t>Tickets team communicate 360 training</t>
        </is>
      </c>
      <c r="D210" s="191" t="inlineStr">
        <is>
          <t>2026-07-01</t>
        </is>
      </c>
      <c r="E210" s="191" t="inlineStr">
        <is>
          <t>—</t>
        </is>
      </c>
      <c r="F210" s="191" t="inlineStr">
        <is>
          <t>Freeda Reshma Dsouza</t>
        </is>
      </c>
      <c r="G210" s="191" t="inlineStr">
        <is>
          <t>Offline</t>
        </is>
      </c>
      <c r="H210" s="191" t="inlineStr">
        <is>
          <t>Tickets team communicate 360 training</t>
        </is>
      </c>
      <c r="I210" s="192" t="n">
        <v>2.5</v>
      </c>
    </row>
    <row r="211" ht="15.75" customHeight="1" s="156">
      <c r="A211" s="191" t="inlineStr">
        <is>
          <t>July 2026</t>
        </is>
      </c>
      <c r="B211" s="191" t="inlineStr">
        <is>
          <t>Support Training</t>
        </is>
      </c>
      <c r="C211" s="191" t="inlineStr">
        <is>
          <t>Tickets team communicate 360 training</t>
        </is>
      </c>
      <c r="D211" s="191" t="inlineStr">
        <is>
          <t>2026-07-01</t>
        </is>
      </c>
      <c r="E211" s="191" t="inlineStr">
        <is>
          <t>—</t>
        </is>
      </c>
      <c r="F211" s="191" t="inlineStr">
        <is>
          <t>Freeda Reshma Dsouza</t>
        </is>
      </c>
      <c r="G211" s="191" t="inlineStr">
        <is>
          <t>Offline</t>
        </is>
      </c>
      <c r="H211" s="191" t="inlineStr">
        <is>
          <t>Tickets team communicate 360 training</t>
        </is>
      </c>
      <c r="I211" s="192" t="n">
        <v>3.5</v>
      </c>
    </row>
    <row r="212" ht="15.75" customHeight="1" s="156">
      <c r="A212" s="189" t="inlineStr">
        <is>
          <t>July 2026</t>
        </is>
      </c>
      <c r="B212" s="189" t="inlineStr">
        <is>
          <t>Support Training</t>
        </is>
      </c>
      <c r="C212" s="189" t="inlineStr">
        <is>
          <t>Tickets team P&amp;S reviewing</t>
        </is>
      </c>
      <c r="D212" s="189" t="inlineStr">
        <is>
          <t>2026-07-01</t>
        </is>
      </c>
      <c r="E212" s="189" t="inlineStr">
        <is>
          <t>—</t>
        </is>
      </c>
      <c r="F212" s="189" t="inlineStr">
        <is>
          <t>Girish A</t>
        </is>
      </c>
      <c r="G212" s="189" t="inlineStr">
        <is>
          <t>Online</t>
        </is>
      </c>
      <c r="H212" s="189" t="inlineStr">
        <is>
          <t>Tickets team P&amp;S reviewing</t>
        </is>
      </c>
      <c r="I212" s="190" t="n">
        <v>2.5</v>
      </c>
    </row>
    <row r="213" ht="15.75" customHeight="1" s="156">
      <c r="A213" s="189" t="inlineStr">
        <is>
          <t>July 2026</t>
        </is>
      </c>
      <c r="B213" s="189" t="inlineStr">
        <is>
          <t>Support Training</t>
        </is>
      </c>
      <c r="C213" s="189" t="inlineStr">
        <is>
          <t>Scheduling the email for the previous batch for Comm360</t>
        </is>
      </c>
      <c r="D213" s="189" t="inlineStr">
        <is>
          <t>2026-07-01</t>
        </is>
      </c>
      <c r="E213" s="189" t="inlineStr">
        <is>
          <t>—</t>
        </is>
      </c>
      <c r="F213" s="189" t="inlineStr">
        <is>
          <t>Girish A</t>
        </is>
      </c>
      <c r="G213" s="189" t="inlineStr">
        <is>
          <t>Online</t>
        </is>
      </c>
      <c r="H213" s="189" t="inlineStr">
        <is>
          <t>Scheduling the email for the previous batch for Comm360</t>
        </is>
      </c>
      <c r="I213" s="190" t="n">
        <v>2</v>
      </c>
    </row>
    <row r="214" ht="15.75" customHeight="1" s="156">
      <c r="A214" s="189" t="inlineStr">
        <is>
          <t>July 2026</t>
        </is>
      </c>
      <c r="B214" s="189" t="inlineStr">
        <is>
          <t>Other</t>
        </is>
      </c>
      <c r="C214" s="189" t="inlineStr">
        <is>
          <t>LMS tool testing</t>
        </is>
      </c>
      <c r="D214" s="189" t="inlineStr">
        <is>
          <t>2026-07-02</t>
        </is>
      </c>
      <c r="E214" s="189" t="inlineStr">
        <is>
          <t>—</t>
        </is>
      </c>
      <c r="F214" s="189" t="inlineStr">
        <is>
          <t>Girish A</t>
        </is>
      </c>
      <c r="G214" s="189" t="inlineStr">
        <is>
          <t>Online</t>
        </is>
      </c>
      <c r="H214" s="189" t="inlineStr">
        <is>
          <t>LMS tool testing</t>
        </is>
      </c>
      <c r="I214" s="190" t="n">
        <v>1.5</v>
      </c>
    </row>
    <row r="215" ht="15.75" customHeight="1" s="156">
      <c r="A215" s="189" t="inlineStr">
        <is>
          <t>July 2026</t>
        </is>
      </c>
      <c r="B215" s="189" t="inlineStr">
        <is>
          <t>Other</t>
        </is>
      </c>
      <c r="C215" s="189" t="inlineStr">
        <is>
          <t>LMS tool testing</t>
        </is>
      </c>
      <c r="D215" s="189" t="inlineStr">
        <is>
          <t>2026-07-03</t>
        </is>
      </c>
      <c r="E215" s="189" t="inlineStr">
        <is>
          <t>—</t>
        </is>
      </c>
      <c r="F215" s="189" t="inlineStr">
        <is>
          <t>Girish A</t>
        </is>
      </c>
      <c r="G215" s="189" t="inlineStr">
        <is>
          <t>Online</t>
        </is>
      </c>
      <c r="H215" s="189" t="inlineStr">
        <is>
          <t>LMS tool testing</t>
        </is>
      </c>
      <c r="I215" s="190" t="n">
        <v>1</v>
      </c>
    </row>
    <row r="216" ht="15.75" customHeight="1" s="156">
      <c r="A216" s="189" t="inlineStr">
        <is>
          <t>July 2026</t>
        </is>
      </c>
      <c r="B216" s="189" t="inlineStr">
        <is>
          <t>Support Training</t>
        </is>
      </c>
      <c r="C216" s="189" t="inlineStr">
        <is>
          <t>NRI OJT</t>
        </is>
      </c>
      <c r="D216" s="189" t="inlineStr">
        <is>
          <t>2026-07-02</t>
        </is>
      </c>
      <c r="E216" s="189" t="inlineStr">
        <is>
          <t>—</t>
        </is>
      </c>
      <c r="F216" s="189" t="inlineStr">
        <is>
          <t>Girish A</t>
        </is>
      </c>
      <c r="G216" s="189" t="inlineStr">
        <is>
          <t>Online</t>
        </is>
      </c>
      <c r="H216" s="189" t="inlineStr">
        <is>
          <t>NRI OJT</t>
        </is>
      </c>
      <c r="I216" s="190" t="n">
        <v>2</v>
      </c>
    </row>
    <row r="217" ht="15.75" customHeight="1" s="156">
      <c r="A217" s="189" t="inlineStr">
        <is>
          <t>July 2026</t>
        </is>
      </c>
      <c r="B217" s="189" t="inlineStr">
        <is>
          <t>Other</t>
        </is>
      </c>
      <c r="C217" s="189" t="inlineStr">
        <is>
          <t>SOP meeting</t>
        </is>
      </c>
      <c r="D217" s="189" t="inlineStr">
        <is>
          <t>2026-07-03</t>
        </is>
      </c>
      <c r="E217" s="189" t="inlineStr">
        <is>
          <t>—</t>
        </is>
      </c>
      <c r="F217" s="189" t="inlineStr">
        <is>
          <t>Girish A</t>
        </is>
      </c>
      <c r="G217" s="189" t="inlineStr">
        <is>
          <t>Online</t>
        </is>
      </c>
      <c r="H217" s="189" t="inlineStr">
        <is>
          <t>SOP meeting</t>
        </is>
      </c>
      <c r="I217" s="190" t="n">
        <v>1.5</v>
      </c>
    </row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2026"),SUMPRODUCT((Data!$A$2:$A$200="July 2026")*ISNUMBER(SEARCH("Gaurav",Data!$F$2:$F$200))*Data!$I$2:$I$200),0)</f>
        <v/>
      </c>
      <c r="C9">
        <f>IF(OR(Dashboard!$D$6="All Months",Dashboard!$D$6="July 2026"),SUMPRODUCT((Data!$A$2:$A$200="July 2026")*ISNUMBER(SEARCH("Raju",Data!$F$2:$F$200))*Data!$I$2:$I$200),0)</f>
        <v/>
      </c>
      <c r="D9">
        <f>IF(OR(Dashboard!$D$6="All Months",Dashboard!$D$6="July 2026"),SUMPRODUCT((Data!$A$2:$A$200="July 2026")*ISNUMBER(SEARCH("Freeda",Data!$F$2:$F$200))*Data!$I$2:$I$200),0)</f>
        <v/>
      </c>
      <c r="E9">
        <f>IF(OR(Dashboard!$D$6="All Months",Dashboard!$D$6="July 2026"),SUMPRODUCT((Data!$A$2:$A$200="July 2026")*ISNUMBER(SEARCH("Harish",Data!$F$2:$F$200))*Data!$I$2:$I$200),0)</f>
        <v/>
      </c>
      <c r="F9">
        <f>IF(OR(Dashboard!$D$6="All Months",Dashboard!$D$6="July 2026"),SUMPRODUCT((Data!$A$2:$A$200="July 2026")*ISNUMBER(SEARCH("Girish",Data!$F$2:$F$200))*Data!$I$2:$I$200),0)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Months",SUMIF(Data!$G$2:$G$200,"Online",Data!$I$2:$I$200),SUMPRODUCT((Data!$A$2:$A$200=Dashboard!$D$6)*(Data!$G$2:$G$200="Online")*Data!$I$2:$I$200))</f>
        <v/>
      </c>
    </row>
    <row r="13">
      <c r="A13" t="inlineStr">
        <is>
          <t>Offline</t>
        </is>
      </c>
      <c r="B13">
        <f>IF(Dashboard!$D$6="All Months",SUMIF(Data!$G$2:$G$200,"Offline",Data!$I$2:$I$200),SUMPRODUCT((Data!$A$2:$A$200=Dashboard!$D$6)*(Data!$G$2:$G$200="Offline")*Data!$I$2:$I$200))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Months",SUMIF(Data!$B$2:$B$200,"Project Maven",Data!$I$2:$I$200),SUMPRODUCT((Data!$A$2:$A$200=Dashboard!$D$6)*(Data!$B$2:$B$200="Project Maven")*Data!$I$2:$I$200))</f>
        <v/>
      </c>
    </row>
    <row r="17" ht="15" customHeight="1" s="156">
      <c r="A17" t="inlineStr">
        <is>
          <t>Support Training</t>
        </is>
      </c>
      <c r="B17">
        <f>IF(Dashboard!$D$6="All Months",SUMIF(Data!$B$2:$B$200,"Support Training",Data!$I$2:$I$200),SUMPRODUCT((Data!$A$2:$A$200=Dashboard!$D$6)*(Data!$B$2:$B$200="Support Training")*Data!$I$2:$I$200))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Refresher for Entire Support</t>
        </is>
      </c>
      <c r="B19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20" ht="15" customHeight="1" s="156">
      <c r="A20" t="inlineStr">
        <is>
          <t>Other</t>
        </is>
      </c>
      <c r="B20">
        <f>IF(Dashboard!$D$6="All Months",SUMIF(Data!$B$2:$B$200,"Other",Data!$I$2:$I$200),SUMPRODUCT((Data!$A$2:$A$200=Dashboard!$D$6)*(Data!$B$2:$B$200="Other")*Data!$I$2:$I$200))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Months",SUMIF(Data!$B$2:$B$200,"Support Team OJT",Data!$I$2:$I$200),SUMPRODUCT((Data!$A$2:$A$200=Dashboard!$D$6)*(Data!$B$2:$B$200="Support Team OJT")*Data!$I$2:$I$200))</f>
        <v/>
      </c>
    </row>
    <row r="22" ht="15.75" customHeight="1" s="156">
      <c r="A22" t="inlineStr">
        <is>
          <t>Refresher</t>
        </is>
      </c>
      <c r="B22">
        <f>IF(Dashboard!$D$6="All Months",SUMIF(Data!$B$2:$B$200,"Refresher",Data!$I$2:$I$200),SUMPRODUCT((Data!$A$2:$A$200=Dashboard!$D$6)*(Data!$B$2:$B$200="Refresher")*Data!$I$2:$I$200))</f>
        <v/>
      </c>
    </row>
    <row r="23" ht="15.75" customHeight="1" s="156">
      <c r="A23" t="inlineStr">
        <is>
          <t>Team Refresher</t>
        </is>
      </c>
      <c r="B23">
        <f>IF(Dashboard!$D$6="All Months",SUMIF(Data!$B$2:$B$200,"Team Refresher",Data!$I$2:$I$200),SUMPRODUCT((Data!$A$2:$A$200=Dashboard!$D$6)*(Data!$B$2:$B$200="Team Refresher")*Data!$I$2:$I$200))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Months",SUMIF(Data!$B$2:$B$200,"ACOP Team Refresher",Data!$I$2:$I$200),SUMPRODUCT((Data!$A$2:$A$200=Dashboard!$D$6)*(Data!$B$2:$B$200="ACOP Team Refresher")*Data!$I$2:$I$200))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Months",SUMIF(Data!$B$2:$B$200,"Varsity Backend Support",Data!$I$2:$I$200),SUMPRODUCT((Data!$A$2:$A$200=Dashboard!$D$6)*(Data!$B$2:$B$200="Varsity Backend Support")*Data!$I$2:$I$200))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Months",SUMIF(Data!$B$2:$B$200,"Refresher for Support",Data!$I$2:$I$200),SUMPRODUCT((Data!$A$2:$A$200=Dashboard!$D$6)*(Data!$B$2:$B$200="Refresher for Support")*Data!$I$2:$I$200))</f>
        <v/>
      </c>
    </row>
    <row r="28" ht="15.75" customHeight="1" s="156">
      <c r="A28" t="inlineStr">
        <is>
          <t>Mock Calls</t>
        </is>
      </c>
      <c r="B28">
        <f>IF(Dashboard!$D$6="All Months",SUMIF(Data!$B$2:$B$200,"Mock Calls",Data!$I$2:$I$200),SUMPRODUCT((Data!$A$2:$A$200=Dashboard!$D$6)*(Data!$B$2:$B$200="Mock Calls")*Data!$I$2:$I$200))</f>
        <v/>
      </c>
    </row>
    <row r="29" ht="15.75" customHeight="1" s="156">
      <c r="A29" t="inlineStr">
        <is>
          <t>Webinar</t>
        </is>
      </c>
      <c r="B29">
        <f>IF(Dashboard!$D$6="All Months",SUMIF(Data!$B$2:$B$200,"Webinar",Data!$I$2:$I$200),SUMPRODUCT((Data!$A$2:$A$200=Dashboard!$D$6)*(Data!$B$2:$B$200="Webinar")*Data!$I$2:$I$200))</f>
        <v/>
      </c>
    </row>
    <row r="30" ht="15.75" customHeight="1" s="156">
      <c r="A30" t="inlineStr">
        <is>
          <t>Session</t>
        </is>
      </c>
      <c r="B30">
        <f>IF(Dashboard!$D$6="All Months",SUMIF(Data!$B$2:$B$200,"Session",Data!$I$2:$I$200),SUMPRODUCT((Data!$A$2:$A$200=Dashboard!$D$6)*(Data!$B$2:$B$200="Session")*Data!$I$2:$I$200))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Months",SUMIF(Data!$B$2:$B$200,"Ticket Tool Video",Data!$I$2:$I$200),SUMPRODUCT((Data!$A$2:$A$200=Dashboard!$D$6)*(Data!$B$2:$B$200="Ticket Tool Video")*Data!$I$2:$I$200))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Months",SUMIF(Data!$B$2:$B$200,"Varsity Scripts Writing",Data!$I$2:$I$200),SUMPRODUCT((Data!$A$2:$A$200=Dashboard!$D$6)*(Data!$B$2:$B$200="Varsity Scripts Writing")*Data!$I$2:$I$200))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Months",SUMIF(Data!$B$2:$B$200,"Varsity Video Shoot",Data!$I$2:$I$200),SUMPRODUCT((Data!$A$2:$A$200=Dashboard!$D$6)*(Data!$B$2:$B$200="Varsity Video Shoot")*Data!$I$2:$I$200))</f>
        <v/>
      </c>
    </row>
    <row r="34" ht="15.75" customHeight="1" s="156">
      <c r="A34" t="inlineStr">
        <is>
          <t>Accop Training</t>
        </is>
      </c>
      <c r="B34">
        <f>IF(Dashboard!$D$6="All Months",SUMIF(Data!$B$2:$B$200,"Accop Training",Data!$I$2:$I$200),SUMPRODUCT((Data!$A$2:$A$200=Dashboard!$D$6)*(Data!$B$2:$B$200="Accop Training")*Data!$I$2:$I$200))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Months",SUMIF(Data!$B$2:$B$200,"NRI Team Training",Data!$I$2:$I$200),SUMPRODUCT((Data!$A$2:$A$200=Dashboard!$D$6)*(Data!$B$2:$B$200="NRI Team Training")*Data!$I$2:$I$200))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Months",SUMIF(Data!$B$2:$B$200,"Content Team Session",Data!$I$2:$I$200),SUMPRODUCT((Data!$A$2:$A$200=Dashboard!$D$6)*(Data!$B$2:$B$200="Content Team Session")*Data!$I$2:$I$200))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Months",SUMIF(Data!$B$2:$B$200,"Varsity Team Session",Data!$I$2:$I$200),SUMPRODUCT((Data!$A$2:$A$200=Dashboard!$D$6)*(Data!$B$2:$B$200="Varsity Team Session")*Data!$I$2:$I$200))</f>
        <v/>
      </c>
    </row>
    <row r="38" ht="15.75" customHeight="1" s="156">
      <c r="A38" t="inlineStr">
        <is>
          <t>Assessments</t>
        </is>
      </c>
      <c r="B38">
        <f>IF(Dashboard!$D$6="All Months",SUMIF(Data!$B$2:$B$200,"Assessments",Data!$I$2:$I$200),SUMPRODUCT((Data!$A$2:$A$200=Dashboard!$D$6)*(Data!$B$2:$B$200="Assessments")*Data!$I$2:$I$200))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Months",SUMIF(Data!$B$2:$B$200,"Training Need Analysis",Data!$I$2:$I$200),SUMPRODUCT((Data!$A$2:$A$200=Dashboard!$D$6)*(Data!$B$2:$B$200="Training Need Analysis")*Data!$I$2:$I$200))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Months",SUMIF(Data!$B$2:$B$200,"Fresh Hires Training",Data!$I$2:$I$200),SUMPRODUCT((Data!$A$2:$A$200=Dashboard!$D$6)*(Data!$B$2:$B$200="Fresh Hires Training")*Data!$I$2:$I$200))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Months",SUMIF(Data!$B$2:$B$200,"Self Assessment Form",Data!$I$2:$I$200),SUMPRODUCT((Data!$A$2:$A$200=Dashboard!$D$6)*(Data!$B$2:$B$200="Self Assessment Form")*Data!$I$2:$I$200))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7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199" t="n">
        <v>47</v>
      </c>
      <c r="B53" s="200" t="inlineStr">
        <is>
          <t>Support Training</t>
        </is>
      </c>
      <c r="C53" s="200" t="inlineStr">
        <is>
          <t>Communicate 360- Renu's team</t>
        </is>
      </c>
      <c r="D53" s="200" t="inlineStr">
        <is>
          <t>2026-06-18</t>
        </is>
      </c>
      <c r="E53" s="200" t="inlineStr">
        <is>
          <t>—</t>
        </is>
      </c>
      <c r="F53" s="200" t="inlineStr">
        <is>
          <t>Freeda Reshma Dsouza</t>
        </is>
      </c>
      <c r="G53" s="200" t="inlineStr">
        <is>
          <t>Offline</t>
        </is>
      </c>
      <c r="H53" s="200" t="inlineStr">
        <is>
          <t>Communicate 360- Renu's team</t>
        </is>
      </c>
      <c r="I53" s="201" t="n">
        <v>2.5</v>
      </c>
    </row>
    <row r="54" ht="15.75" customHeight="1" s="156">
      <c r="A54" s="199" t="n">
        <v>48</v>
      </c>
      <c r="B54" s="200" t="inlineStr">
        <is>
          <t>Support Training</t>
        </is>
      </c>
      <c r="C54" s="200" t="inlineStr">
        <is>
          <t>Communicate 360- Renu's team</t>
        </is>
      </c>
      <c r="D54" s="200" t="inlineStr">
        <is>
          <t>2026-06-18</t>
        </is>
      </c>
      <c r="E54" s="200" t="inlineStr">
        <is>
          <t>—</t>
        </is>
      </c>
      <c r="F54" s="200" t="inlineStr">
        <is>
          <t>Freeda Reshma Dsouza</t>
        </is>
      </c>
      <c r="G54" s="200" t="inlineStr">
        <is>
          <t>Offline</t>
        </is>
      </c>
      <c r="H54" s="200" t="inlineStr">
        <is>
          <t>Communicate 360- Renu's team</t>
        </is>
      </c>
      <c r="I54" s="201" t="n">
        <v>2.5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Communicate 360- Renu's team</t>
        </is>
      </c>
      <c r="D55" s="200" t="inlineStr">
        <is>
          <t>2026-06-19</t>
        </is>
      </c>
      <c r="E55" s="200" t="inlineStr">
        <is>
          <t>—</t>
        </is>
      </c>
      <c r="F55" s="200" t="inlineStr">
        <is>
          <t>Freeda Reshma Dsouza</t>
        </is>
      </c>
      <c r="G55" s="200" t="inlineStr">
        <is>
          <t>Offline</t>
        </is>
      </c>
      <c r="H55" s="200" t="inlineStr">
        <is>
          <t>Communicate 360- Renu's team</t>
        </is>
      </c>
      <c r="I55" s="201" t="n">
        <v>2.75</v>
      </c>
    </row>
    <row r="56" ht="15.75" customHeight="1" s="156">
      <c r="A56" s="199" t="n">
        <v>50</v>
      </c>
      <c r="B56" s="200" t="inlineStr">
        <is>
          <t>Support Training</t>
        </is>
      </c>
      <c r="C56" s="200" t="inlineStr">
        <is>
          <t>Communicate 360- Renu's team</t>
        </is>
      </c>
      <c r="D56" s="200" t="inlineStr">
        <is>
          <t>2026-06-19</t>
        </is>
      </c>
      <c r="E56" s="200" t="inlineStr">
        <is>
          <t>—</t>
        </is>
      </c>
      <c r="F56" s="200" t="inlineStr">
        <is>
          <t>Freeda Reshma Dsouza</t>
        </is>
      </c>
      <c r="G56" s="200" t="inlineStr">
        <is>
          <t>Offline</t>
        </is>
      </c>
      <c r="H56" s="200" t="inlineStr">
        <is>
          <t>Communicate 360- Renu's team</t>
        </is>
      </c>
      <c r="I56" s="201" t="n">
        <v>2.75</v>
      </c>
    </row>
    <row r="57" ht="15.75" customHeight="1" s="156">
      <c r="A57" s="199" t="n">
        <v>51</v>
      </c>
      <c r="B57" s="200" t="inlineStr">
        <is>
          <t>Support Training</t>
        </is>
      </c>
      <c r="C57" s="200" t="inlineStr">
        <is>
          <t>Tickets team Communicate 360 training</t>
        </is>
      </c>
      <c r="D57" s="200" t="inlineStr">
        <is>
          <t>2026-06-29</t>
        </is>
      </c>
      <c r="E57" s="200" t="inlineStr">
        <is>
          <t>—</t>
        </is>
      </c>
      <c r="F57" s="200" t="inlineStr">
        <is>
          <t>Freeda Reshma Dsouza</t>
        </is>
      </c>
      <c r="G57" s="200" t="inlineStr">
        <is>
          <t>Offline</t>
        </is>
      </c>
      <c r="H57" s="200" t="inlineStr">
        <is>
          <t>Tickets team Communicate 360 training</t>
        </is>
      </c>
      <c r="I57" s="201" t="n">
        <v>2.5</v>
      </c>
    </row>
    <row r="58" ht="15.75" customHeight="1" s="156">
      <c r="A58" s="199" t="n">
        <v>52</v>
      </c>
      <c r="B58" s="200" t="inlineStr">
        <is>
          <t>Support Training</t>
        </is>
      </c>
      <c r="C58" s="200" t="inlineStr">
        <is>
          <t>Tickets team communicate 360 training</t>
        </is>
      </c>
      <c r="D58" s="200" t="inlineStr">
        <is>
          <t>2026-06-30</t>
        </is>
      </c>
      <c r="E58" s="200" t="inlineStr">
        <is>
          <t>—</t>
        </is>
      </c>
      <c r="F58" s="200" t="inlineStr">
        <is>
          <t>Freeda Reshma Dsouza</t>
        </is>
      </c>
      <c r="G58" s="200" t="inlineStr">
        <is>
          <t>Offline</t>
        </is>
      </c>
      <c r="H58" s="200" t="inlineStr">
        <is>
          <t>Tickets team communicate 360 training</t>
        </is>
      </c>
      <c r="I58" s="201" t="n">
        <v>2.5</v>
      </c>
    </row>
    <row r="59" ht="15.75" customHeight="1" s="156">
      <c r="A59" s="199" t="n">
        <v>53</v>
      </c>
      <c r="B59" s="200" t="inlineStr">
        <is>
          <t>Support Training</t>
        </is>
      </c>
      <c r="C59" s="200" t="inlineStr">
        <is>
          <t>Tickets team communicate 360 training</t>
        </is>
      </c>
      <c r="D59" s="200" t="inlineStr">
        <is>
          <t>2026-06-30</t>
        </is>
      </c>
      <c r="E59" s="200" t="inlineStr">
        <is>
          <t>—</t>
        </is>
      </c>
      <c r="F59" s="200" t="inlineStr">
        <is>
          <t>Freeda Reshma Dsouza</t>
        </is>
      </c>
      <c r="G59" s="200" t="inlineStr">
        <is>
          <t>Offline</t>
        </is>
      </c>
      <c r="H59" s="200" t="inlineStr">
        <is>
          <t>Tickets team communicate 360 training</t>
        </is>
      </c>
      <c r="I59" s="201" t="n">
        <v>2.5</v>
      </c>
    </row>
    <row r="60" ht="15.75" customHeight="1" s="156">
      <c r="A60" s="199" t="n">
        <v>54</v>
      </c>
      <c r="B60" s="200" t="inlineStr">
        <is>
          <t>Support Training</t>
        </is>
      </c>
      <c r="C60" s="200" t="inlineStr">
        <is>
          <t>NRI Sales and Acop Training session</t>
        </is>
      </c>
      <c r="D60" s="200" t="inlineStr">
        <is>
          <t>2026-06-10</t>
        </is>
      </c>
      <c r="E60" s="200" t="inlineStr">
        <is>
          <t>—</t>
        </is>
      </c>
      <c r="F60" s="200" t="inlineStr">
        <is>
          <t>Girish A</t>
        </is>
      </c>
      <c r="G60" s="200" t="inlineStr">
        <is>
          <t>Offline</t>
        </is>
      </c>
      <c r="H60" s="200" t="inlineStr">
        <is>
          <t>NRI Sales and Acop Training session</t>
        </is>
      </c>
      <c r="I60" s="201" t="n">
        <v>6.5</v>
      </c>
    </row>
    <row r="61" ht="15.75" customHeight="1" s="156">
      <c r="A61" s="199" t="n">
        <v>55</v>
      </c>
      <c r="B61" s="200" t="inlineStr">
        <is>
          <t>Support Training</t>
        </is>
      </c>
      <c r="C61" s="200" t="inlineStr">
        <is>
          <t>NRI Sales and Acop Training session</t>
        </is>
      </c>
      <c r="D61" s="200" t="inlineStr">
        <is>
          <t>2026-06-11</t>
        </is>
      </c>
      <c r="E61" s="200" t="inlineStr">
        <is>
          <t>—</t>
        </is>
      </c>
      <c r="F61" s="200" t="inlineStr">
        <is>
          <t>Girish A</t>
        </is>
      </c>
      <c r="G61" s="200" t="inlineStr">
        <is>
          <t>Offline</t>
        </is>
      </c>
      <c r="H61" s="200" t="inlineStr">
        <is>
          <t>NRI Sales and Acop Training session</t>
        </is>
      </c>
      <c r="I61" s="201" t="n">
        <v>6.5</v>
      </c>
    </row>
    <row r="62" ht="15.75" customHeight="1" s="156">
      <c r="A62" s="199" t="n">
        <v>56</v>
      </c>
      <c r="B62" s="200" t="inlineStr">
        <is>
          <t>Support Training</t>
        </is>
      </c>
      <c r="C62" s="200" t="inlineStr">
        <is>
          <t>NRI Sales and Acop Training session</t>
        </is>
      </c>
      <c r="D62" s="200" t="inlineStr">
        <is>
          <t>2026-06-12</t>
        </is>
      </c>
      <c r="E62" s="200" t="inlineStr">
        <is>
          <t>—</t>
        </is>
      </c>
      <c r="F62" s="200" t="inlineStr">
        <is>
          <t>Girish A</t>
        </is>
      </c>
      <c r="G62" s="200" t="inlineStr">
        <is>
          <t>Offline</t>
        </is>
      </c>
      <c r="H62" s="200" t="inlineStr">
        <is>
          <t>NRI Sales and Acop Training session</t>
        </is>
      </c>
      <c r="I62" s="201" t="n">
        <v>6.5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NRI Sales and Acop Training session</t>
        </is>
      </c>
      <c r="D63" s="200" t="inlineStr">
        <is>
          <t>2026-06-15</t>
        </is>
      </c>
      <c r="E63" s="200" t="inlineStr">
        <is>
          <t>—</t>
        </is>
      </c>
      <c r="F63" s="200" t="inlineStr">
        <is>
          <t>Girish A</t>
        </is>
      </c>
      <c r="G63" s="200" t="inlineStr">
        <is>
          <t>Offline</t>
        </is>
      </c>
      <c r="H63" s="200" t="inlineStr">
        <is>
          <t>NRI Sales and Acop Training session</t>
        </is>
      </c>
      <c r="I63" s="201" t="n">
        <v>6.5</v>
      </c>
    </row>
    <row r="64" ht="15.75" customHeight="1" s="156">
      <c r="A64" s="199" t="n">
        <v>58</v>
      </c>
      <c r="B64" s="200" t="inlineStr">
        <is>
          <t>Support Training</t>
        </is>
      </c>
      <c r="C64" s="200" t="inlineStr">
        <is>
          <t>NRI Sales and Acop Training session</t>
        </is>
      </c>
      <c r="D64" s="200" t="inlineStr">
        <is>
          <t>2026-06-16</t>
        </is>
      </c>
      <c r="E64" s="200" t="inlineStr">
        <is>
          <t>—</t>
        </is>
      </c>
      <c r="F64" s="200" t="inlineStr">
        <is>
          <t>Girish A</t>
        </is>
      </c>
      <c r="G64" s="200" t="inlineStr">
        <is>
          <t>Offline</t>
        </is>
      </c>
      <c r="H64" s="200" t="inlineStr">
        <is>
          <t>NRI Sales and Acop Training session</t>
        </is>
      </c>
      <c r="I64" s="201" t="n">
        <v>6.5</v>
      </c>
    </row>
    <row r="65" ht="15.75" customHeight="1" s="156">
      <c r="A65" s="199" t="n">
        <v>59</v>
      </c>
      <c r="B65" s="200" t="inlineStr">
        <is>
          <t>Support Training</t>
        </is>
      </c>
      <c r="C65" s="200" t="inlineStr">
        <is>
          <t>NRI Sales and Acop Training session</t>
        </is>
      </c>
      <c r="D65" s="200" t="inlineStr">
        <is>
          <t>2026-06-17</t>
        </is>
      </c>
      <c r="E65" s="200" t="inlineStr">
        <is>
          <t>—</t>
        </is>
      </c>
      <c r="F65" s="200" t="inlineStr">
        <is>
          <t>Girish A</t>
        </is>
      </c>
      <c r="G65" s="200" t="inlineStr">
        <is>
          <t>Offline</t>
        </is>
      </c>
      <c r="H65" s="200" t="inlineStr">
        <is>
          <t>NRI Sales and Acop Training session</t>
        </is>
      </c>
      <c r="I65" s="201" t="n">
        <v>6.5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NRI Sales and Acop Training session</t>
        </is>
      </c>
      <c r="D66" s="200" t="inlineStr">
        <is>
          <t>2026-06-18</t>
        </is>
      </c>
      <c r="E66" s="200" t="inlineStr">
        <is>
          <t>—</t>
        </is>
      </c>
      <c r="F66" s="200" t="inlineStr">
        <is>
          <t>Girish A</t>
        </is>
      </c>
      <c r="G66" s="200" t="inlineStr">
        <is>
          <t>Offline</t>
        </is>
      </c>
      <c r="H66" s="200" t="inlineStr">
        <is>
          <t>NRI Sales and Acop Training session</t>
        </is>
      </c>
      <c r="I66" s="201" t="n">
        <v>6.5</v>
      </c>
    </row>
    <row r="67" ht="15.75" customHeight="1" s="156">
      <c r="A67" s="199" t="n">
        <v>61</v>
      </c>
      <c r="B67" s="200" t="inlineStr">
        <is>
          <t>Support Training</t>
        </is>
      </c>
      <c r="C67" s="200" t="inlineStr">
        <is>
          <t>NRI Sales and Acop Training session</t>
        </is>
      </c>
      <c r="D67" s="200" t="inlineStr">
        <is>
          <t>2026-06-19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Offline</t>
        </is>
      </c>
      <c r="H67" s="200" t="inlineStr">
        <is>
          <t>NRI Sales and Acop Training session</t>
        </is>
      </c>
      <c r="I67" s="201" t="n">
        <v>6.5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NRI Sales and Acop Question paper preparation</t>
        </is>
      </c>
      <c r="D68" s="200" t="inlineStr">
        <is>
          <t>2026-06-20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Offline</t>
        </is>
      </c>
      <c r="H68" s="200" t="inlineStr">
        <is>
          <t>NRI Sales and Acop Question paper preparation</t>
        </is>
      </c>
      <c r="I68" s="201" t="n">
        <v>2.5</v>
      </c>
    </row>
    <row r="69" ht="15.75" customHeight="1" s="156">
      <c r="A69" s="196" t="n">
        <v>63</v>
      </c>
      <c r="B69" s="197" t="inlineStr">
        <is>
          <t>Other</t>
        </is>
      </c>
      <c r="C69" s="197" t="inlineStr">
        <is>
          <t>LMS Tool testing and conducting Exam</t>
        </is>
      </c>
      <c r="D69" s="197" t="inlineStr">
        <is>
          <t>2026-06-25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LMS Tool testing and conducting Exam</t>
        </is>
      </c>
      <c r="I69" s="198" t="n">
        <v>4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NRI Sales and Acop Training session</t>
        </is>
      </c>
      <c r="D70" s="200" t="inlineStr">
        <is>
          <t>2026-06-22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Offline</t>
        </is>
      </c>
      <c r="H70" s="200" t="inlineStr">
        <is>
          <t>NRI Sales and Acop Training session</t>
        </is>
      </c>
      <c r="I70" s="201" t="n">
        <v>6.5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NRI Sales and Acop Training session</t>
        </is>
      </c>
      <c r="D71" s="200" t="inlineStr">
        <is>
          <t>2026-06-23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Offline</t>
        </is>
      </c>
      <c r="H71" s="200" t="inlineStr">
        <is>
          <t>NRI Sales and Acop Training session</t>
        </is>
      </c>
      <c r="I71" s="201" t="n">
        <v>6.5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NRI Sales and Acop Training session (Soft skills)</t>
        </is>
      </c>
      <c r="D72" s="197" t="inlineStr">
        <is>
          <t>2026-06-24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NRI Sales and Acop Training session (Soft skills)</t>
        </is>
      </c>
      <c r="I72" s="198" t="n">
        <v>5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NRI Sales and Acop OJT</t>
        </is>
      </c>
      <c r="D73" s="197" t="inlineStr">
        <is>
          <t>2026-06-30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NRI Sales and Acop OJT</t>
        </is>
      </c>
      <c r="I73" s="198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Soft Skills training - New Hire - NRI sales</t>
        </is>
      </c>
      <c r="D74" s="200" t="inlineStr">
        <is>
          <t>2026-06-24</t>
        </is>
      </c>
      <c r="E74" s="200" t="inlineStr">
        <is>
          <t>—</t>
        </is>
      </c>
      <c r="F74" s="200" t="inlineStr">
        <is>
          <t>Freeda Reshma Dsouza</t>
        </is>
      </c>
      <c r="G74" s="200" t="inlineStr">
        <is>
          <t>Offline</t>
        </is>
      </c>
      <c r="H74" s="200" t="inlineStr">
        <is>
          <t>Soft Skills training - New Hire - NRI sales</t>
        </is>
      </c>
      <c r="I74" s="201" t="n">
        <v>4.5</v>
      </c>
    </row>
    <row r="75" ht="15.75" customHeight="1" s="156">
      <c r="A75" s="202" t="inlineStr">
        <is>
          <t>TOTAL MAN HOURS THIS MONTH</t>
        </is>
      </c>
      <c r="B75" s="202" t="n"/>
      <c r="C75" s="202" t="n"/>
      <c r="D75" s="202" t="n"/>
      <c r="E75" s="202" t="n"/>
      <c r="F75" s="202" t="n"/>
      <c r="G75" s="202" t="n"/>
      <c r="H75" s="202" t="n"/>
      <c r="I75" s="203">
        <f>SUM(I7:I74)</f>
        <v/>
      </c>
    </row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75:H75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Tickets team communicate 360 training</t>
        </is>
      </c>
      <c r="D7" s="200" t="inlineStr">
        <is>
          <t>2026-07-01</t>
        </is>
      </c>
      <c r="E7" s="200" t="inlineStr">
        <is>
          <t>—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Tickets team communicate 360 training</t>
        </is>
      </c>
      <c r="I7" s="201" t="n">
        <v>2.5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Tickets team communicate 360 training</t>
        </is>
      </c>
      <c r="D8" s="200" t="inlineStr">
        <is>
          <t>2026-07-01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Tickets team communicate 360 training</t>
        </is>
      </c>
      <c r="I8" s="201" t="n">
        <v>3.5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Tickets team P&amp;S reviewing</t>
        </is>
      </c>
      <c r="D9" s="197" t="inlineStr">
        <is>
          <t>2026-07-01</t>
        </is>
      </c>
      <c r="E9" s="197" t="inlineStr">
        <is>
          <t>—</t>
        </is>
      </c>
      <c r="F9" s="197" t="inlineStr">
        <is>
          <t>Girish A</t>
        </is>
      </c>
      <c r="G9" s="197" t="inlineStr">
        <is>
          <t>Online</t>
        </is>
      </c>
      <c r="H9" s="197" t="inlineStr">
        <is>
          <t>Tickets team P&amp;S reviewing</t>
        </is>
      </c>
      <c r="I9" s="198" t="n">
        <v>2.5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Scheduling the email for the previous batch for Comm360</t>
        </is>
      </c>
      <c r="D10" s="197" t="inlineStr">
        <is>
          <t>2026-07-01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Scheduling the email for the previous batch for Comm360</t>
        </is>
      </c>
      <c r="I10" s="198" t="n">
        <v>2</v>
      </c>
    </row>
    <row r="11" ht="21.75" customHeight="1" s="156">
      <c r="A11" s="196" t="n">
        <v>5</v>
      </c>
      <c r="B11" s="197" t="inlineStr">
        <is>
          <t>Other</t>
        </is>
      </c>
      <c r="C11" s="197" t="inlineStr">
        <is>
          <t>LMS tool testing</t>
        </is>
      </c>
      <c r="D11" s="197" t="inlineStr">
        <is>
          <t>2026-07-02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LMS tool testing</t>
        </is>
      </c>
      <c r="I11" s="198" t="n">
        <v>1.5</v>
      </c>
    </row>
    <row r="12" ht="21.75" customHeight="1" s="156">
      <c r="A12" s="196" t="n">
        <v>6</v>
      </c>
      <c r="B12" s="197" t="inlineStr">
        <is>
          <t>Other</t>
        </is>
      </c>
      <c r="C12" s="197" t="inlineStr">
        <is>
          <t>LMS tool testing</t>
        </is>
      </c>
      <c r="D12" s="197" t="inlineStr">
        <is>
          <t>2026-07-03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LMS tool testing</t>
        </is>
      </c>
      <c r="I12" s="198" t="n">
        <v>1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NRI OJT</t>
        </is>
      </c>
      <c r="D13" s="197" t="inlineStr">
        <is>
          <t>2026-07-02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NRI OJT</t>
        </is>
      </c>
      <c r="I13" s="198" t="n">
        <v>2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SOP meeting</t>
        </is>
      </c>
      <c r="D14" s="197" t="inlineStr">
        <is>
          <t>2026-07-03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SOP meeting</t>
        </is>
      </c>
      <c r="I14" s="198" t="n">
        <v>1.5</v>
      </c>
    </row>
    <row r="15" ht="21.75" customHeight="1" s="156">
      <c r="A15" s="202" t="inlineStr">
        <is>
          <t>TOTAL MAN HOURS THIS MONTH</t>
        </is>
      </c>
      <c r="B15" s="202" t="n"/>
      <c r="C15" s="202" t="n"/>
      <c r="D15" s="202" t="n"/>
      <c r="E15" s="202" t="n"/>
      <c r="F15" s="202" t="n"/>
      <c r="G15" s="202" t="n"/>
      <c r="H15" s="202" t="n"/>
      <c r="I15" s="203">
        <f>SUM(I7:I14)</f>
        <v/>
      </c>
    </row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15:H15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2026-07-06T06:24:32Z</dcterms:created>
  <dcterms:modified xsi:type="dcterms:W3CDTF">2026-07-06T06:24:35Z</dcterms:modified>
</cp:coreProperties>
</file>