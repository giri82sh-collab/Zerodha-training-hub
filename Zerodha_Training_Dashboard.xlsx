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hidden" r:id="rId10"/>
    <sheet name="July 2026" sheetId="11" state="hidden" r:id="rId11"/>
    <sheet name="August 2026" sheetId="12" state="hidden" r:id="rId12"/>
    <sheet name="September 2026" sheetId="13" state="hidden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'Dashboard'!$B$13:$C$14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39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19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8" applyAlignment="1" pivotButton="0" quotePrefix="0" xfId="0">
      <alignment horizontal="center" vertical="center"/>
    </xf>
    <xf numFmtId="0" fontId="32" fillId="29" borderId="18" applyAlignment="1" pivotButton="0" quotePrefix="0" xfId="0">
      <alignment horizontal="left" vertical="center"/>
    </xf>
    <xf numFmtId="0" fontId="32" fillId="29" borderId="18" applyAlignment="1" pivotButton="0" quotePrefix="0" xfId="0">
      <alignment horizontal="right" vertical="center"/>
    </xf>
    <xf numFmtId="0" fontId="32" fillId="30" borderId="18" applyAlignment="1" pivotButton="0" quotePrefix="0" xfId="0">
      <alignment horizontal="center" vertical="center"/>
    </xf>
    <xf numFmtId="0" fontId="32" fillId="30" borderId="18" applyAlignment="1" pivotButton="0" quotePrefix="0" xfId="0">
      <alignment horizontal="left" vertical="center"/>
    </xf>
    <xf numFmtId="0" fontId="32" fillId="30" borderId="18" applyAlignment="1" pivotButton="0" quotePrefix="0" xfId="0">
      <alignment horizontal="right" vertical="center"/>
    </xf>
    <xf numFmtId="0" fontId="36" fillId="33" borderId="0" applyAlignment="1" pivotButton="0" quotePrefix="0" xfId="0">
      <alignment horizontal="left" vertical="center"/>
    </xf>
    <xf numFmtId="2" fontId="37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38" fillId="32" borderId="0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'CD'!$B$2:$B$9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'CD'!$C$2:$C$9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'CD'!$D$2:$D$9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'CD'!$E$2:$E$9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'CD'!$F$2:$F$9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'CD'!$A$12:$A$13</f>
            </numRef>
          </cat>
          <val>
            <numRef>
              <f>'CD'!$B$12:$B$13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'CD'!$A$16:$A$41</f>
            </numRef>
          </cat>
          <val>
            <numRef>
              <f>'CD'!$B$16:$B$41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29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29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29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3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Months",COUNTA(Data!$A$2:$A$200),COUNTIF(Data!$A$2:$A$200,$D$6))</f>
        <v/>
      </c>
      <c r="D9" s="167">
        <f>IF($D$6="All Months",SUM(Data!$I$2:$I$200),SUMIF(Data!$A$2:$A$200,$D$6,Data!$I$2:$I$200))</f>
        <v/>
      </c>
      <c r="F9" s="168">
        <f>IF($D$6="All Months",SUMIF(Data!$G$2:$G$200,"Online",Data!$I$2:$I$200),SUMPRODUCT((Data!$A$2:$A$200=$D$6)*(Data!$G$2:$G$200="Online")*Data!$I$2:$I$200))</f>
        <v/>
      </c>
      <c r="H9" s="169">
        <f>IF($D$6="All Months",SUMIF(Data!$G$2:$G$200,"Offline",Data!$I$2:$I$200),SUMPRODUCT((Data!$A$2:$A$200=$D$6)*(Data!$G$2:$G$200="Offline")*Data!$I$2:$I$200))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Months",SUMPRODUCT(ISNUMBER(SEARCH("Gaurav",Data!$F$2:$F$200))*Data!$I$2:$I$200),SUMPRODUCT((Data!$A$2:$A$200=$D$6)*ISNUMBER(SEARCH("Gaurav",Data!$F$2:$F$200))*Data!$I$2:$I$200))</f>
        <v/>
      </c>
      <c r="D13" s="175">
        <f>IF($D$6="All Months",SUMPRODUCT(ISNUMBER(SEARCH("Raju",Data!$F$2:$F$200))*Data!$I$2:$I$200),SUMPRODUCT((Data!$A$2:$A$200=$D$6)*ISNUMBER(SEARCH("Raju",Data!$F$2:$F$200))*Data!$I$2:$I$200))</f>
        <v/>
      </c>
      <c r="F13" s="175">
        <f>IF($D$6="All Months",SUMPRODUCT(ISNUMBER(SEARCH("Freeda",Data!$F$2:$F$200))*Data!$I$2:$I$200),SUMPRODUCT((Data!$A$2:$A$200=$D$6)*ISNUMBER(SEARCH("Freeda",Data!$F$2:$F$200))*Data!$I$2:$I$200))</f>
        <v/>
      </c>
      <c r="H13" s="175">
        <f>IF($D$6="All Months",SUMPRODUCT(ISNUMBER(SEARCH("Harish",Data!$F$2:$F$200))*Data!$I$2:$I$200),SUMPRODUCT((Data!$A$2:$A$200=$D$6)*ISNUMBER(SEARCH("Harish",Data!$F$2:$F$200))*Data!$I$2:$I$200))</f>
        <v/>
      </c>
      <c r="J13" s="175">
        <f>IF($D$6="All Months",SUMPRODUCT(ISNUMBER(SEARCH("Girish",Data!$F$2:$F$200))*Data!$I$2:$I$200),SUMPRODUCT((Data!$A$2:$A$200=$D$6)*ISNUMBER(SEARCH("Girish",Data!$F$2:$F$200))*Data!$I$2:$I$200))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SUMIFS(Data!$I$2:$I$200,Data!$A$2:$A$200,"December 2025",Data!$F$2:$F$200,"*Gaurav*")</f>
        <v/>
      </c>
      <c r="E19" s="180" t="n"/>
      <c r="F19" s="179">
        <f>SUMIFS(Data!$I$2:$I$200,Data!$A$2:$A$200,"December 2025",Data!$F$2:$F$200,"*Raju*")</f>
        <v/>
      </c>
      <c r="G19" s="180" t="n"/>
      <c r="H19" s="179">
        <f>SUMIFS(Data!$I$2:$I$200,Data!$A$2:$A$200,"December 2025",Data!$F$2:$F$200,"*Freeda*")</f>
        <v/>
      </c>
      <c r="I19" s="180" t="n"/>
      <c r="J19" s="179">
        <f>SUMIFS(Data!$I$2:$I$200,Data!$A$2:$A$200,"December 2025",Data!$F$2:$F$200,"*Harish*")</f>
        <v/>
      </c>
      <c r="K19" s="180" t="n"/>
      <c r="L19" s="179">
        <f>SUMIFS(Data!$I$2:$I$200,Data!$A$2:$A$200,"December 2025",Data!$F$2:$F$200,"*Girish*")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SUMIFS(Data!$I$2:$I$200,Data!$A$2:$A$200,"January 2026",Data!$F$2:$F$200,"*Gaurav*")</f>
        <v/>
      </c>
      <c r="E20" s="185" t="n"/>
      <c r="F20" s="184">
        <f>SUMIFS(Data!$I$2:$I$200,Data!$A$2:$A$200,"January 2026",Data!$F$2:$F$200,"*Raju*")</f>
        <v/>
      </c>
      <c r="G20" s="185" t="n"/>
      <c r="H20" s="184">
        <f>SUMIFS(Data!$I$2:$I$200,Data!$A$2:$A$200,"January 2026",Data!$F$2:$F$200,"*Freeda*")</f>
        <v/>
      </c>
      <c r="I20" s="185" t="n"/>
      <c r="J20" s="184">
        <f>SUMIFS(Data!$I$2:$I$200,Data!$A$2:$A$200,"January 2026",Data!$F$2:$F$200,"*Harish*")</f>
        <v/>
      </c>
      <c r="K20" s="185" t="n"/>
      <c r="L20" s="184">
        <f>SUMIFS(Data!$I$2:$I$200,Data!$A$2:$A$200,"January 2026",Data!$F$2:$F$200,"*Girish*")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SUMIFS(Data!$I$2:$I$200,Data!$A$2:$A$200,"February 2026",Data!$F$2:$F$200,"*Gaurav*")</f>
        <v/>
      </c>
      <c r="E21" s="180" t="n"/>
      <c r="F21" s="179">
        <f>SUMIFS(Data!$I$2:$I$200,Data!$A$2:$A$200,"February 2026",Data!$F$2:$F$200,"*Raju*")</f>
        <v/>
      </c>
      <c r="G21" s="180" t="n"/>
      <c r="H21" s="179">
        <f>SUMIFS(Data!$I$2:$I$200,Data!$A$2:$A$200,"February 2026",Data!$F$2:$F$200,"*Freeda*")</f>
        <v/>
      </c>
      <c r="I21" s="180" t="n"/>
      <c r="J21" s="179">
        <f>SUMIFS(Data!$I$2:$I$200,Data!$A$2:$A$200,"February 2026",Data!$F$2:$F$200,"*Harish*")</f>
        <v/>
      </c>
      <c r="K21" s="180" t="n"/>
      <c r="L21" s="179">
        <f>SUMIFS(Data!$I$2:$I$200,Data!$A$2:$A$200,"February 2026",Data!$F$2:$F$200,"*Girish*")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SUMIFS(Data!$I$2:$I$200,Data!$A$2:$A$200,"March 2026",Data!$F$2:$F$200,"*Gaurav*")</f>
        <v/>
      </c>
      <c r="E22" s="185" t="n"/>
      <c r="F22" s="184">
        <f>SUMIFS(Data!$I$2:$I$200,Data!$A$2:$A$200,"March 2026",Data!$F$2:$F$200,"*Raju*")</f>
        <v/>
      </c>
      <c r="G22" s="185" t="n"/>
      <c r="H22" s="184">
        <f>SUMIFS(Data!$I$2:$I$200,Data!$A$2:$A$200,"March 2026",Data!$F$2:$F$200,"*Freeda*")</f>
        <v/>
      </c>
      <c r="I22" s="185" t="n"/>
      <c r="J22" s="184">
        <f>SUMIFS(Data!$I$2:$I$200,Data!$A$2:$A$200,"March 2026",Data!$F$2:$F$200,"*Harish*")</f>
        <v/>
      </c>
      <c r="K22" s="185" t="n"/>
      <c r="L22" s="184">
        <f>SUMIFS(Data!$I$2:$I$200,Data!$A$2:$A$200,"March 2026",Data!$F$2:$F$200,"*Girish*")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SUMIFS(Data!$I$2:$I$200,Data!$A$2:$A$200,"April 2026",Data!$F$2:$F$200,"*Gaurav*")</f>
        <v/>
      </c>
      <c r="E23" s="180" t="n"/>
      <c r="F23" s="179">
        <f>SUMIFS(Data!$I$2:$I$200,Data!$A$2:$A$200,"April 2026",Data!$F$2:$F$200,"*Raju*")</f>
        <v/>
      </c>
      <c r="G23" s="180" t="n"/>
      <c r="H23" s="179">
        <f>SUMIFS(Data!$I$2:$I$200,Data!$A$2:$A$200,"April 2026",Data!$F$2:$F$200,"*Freeda*")</f>
        <v/>
      </c>
      <c r="I23" s="180" t="n"/>
      <c r="J23" s="179">
        <f>SUMIFS(Data!$I$2:$I$200,Data!$A$2:$A$200,"April 2026",Data!$F$2:$F$200,"*Harish*")</f>
        <v/>
      </c>
      <c r="K23" s="180" t="n"/>
      <c r="L23" s="179">
        <f>SUMIFS(Data!$I$2:$I$200,Data!$A$2:$A$200,"April 2026",Data!$F$2:$F$200,"*Girish*")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SUMIFS(Data!$I$2:$I$200,Data!$A$2:$A$200,"May 2026",Data!$F$2:$F$200,"*Gaurav*")</f>
        <v/>
      </c>
      <c r="E24" s="185" t="n"/>
      <c r="F24" s="184">
        <f>SUMIFS(Data!$I$2:$I$200,Data!$A$2:$A$200,"May 2026",Data!$F$2:$F$200,"*Raju*")</f>
        <v/>
      </c>
      <c r="G24" s="185" t="n"/>
      <c r="H24" s="184">
        <f>SUMIFS(Data!$I$2:$I$200,Data!$A$2:$A$200,"May 2026",Data!$F$2:$F$200,"*Freeda*")</f>
        <v/>
      </c>
      <c r="I24" s="185" t="n"/>
      <c r="J24" s="184">
        <f>SUMIFS(Data!$I$2:$I$200,Data!$A$2:$A$200,"May 2026",Data!$F$2:$F$200,"*Harish*")</f>
        <v/>
      </c>
      <c r="K24" s="185" t="n"/>
      <c r="L24" s="184">
        <f>SUMIFS(Data!$I$2:$I$200,Data!$A$2:$A$200,"May 2026",Data!$F$2:$F$200,"*Girish*")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SUMIFS(Data!$I$2:$I$200,Data!$A$2:$A$200,"June 2026",Data!$F$2:$F$200,"*Gaurav*")</f>
        <v/>
      </c>
      <c r="E25" s="180" t="n"/>
      <c r="F25" s="179">
        <f>SUMIFS(Data!$I$2:$I$200,Data!$A$2:$A$200,"June 2026",Data!$F$2:$F$200,"*Raju*")</f>
        <v/>
      </c>
      <c r="G25" s="180" t="n"/>
      <c r="H25" s="179">
        <f>SUMIFS(Data!$I$2:$I$200,Data!$A$2:$A$200,"June 2026",Data!$F$2:$F$200,"*Freeda*")</f>
        <v/>
      </c>
      <c r="I25" s="180" t="n"/>
      <c r="J25" s="179">
        <f>SUMIFS(Data!$I$2:$I$200,Data!$A$2:$A$200,"June 2026",Data!$F$2:$F$200,"*Harish*")</f>
        <v/>
      </c>
      <c r="K25" s="180" t="n"/>
      <c r="L25" s="179">
        <f>SUMIFS(Data!$I$2:$I$200,Data!$A$2:$A$200,"June 2026",Data!$F$2:$F$200,"*Girish*")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SUMIFS(Data!$I$2:$I$200,Data!$A$2:$A$200,"July 2026",Data!$F$2:$F$200,"*Gaurav*")</f>
        <v/>
      </c>
      <c r="E26" s="185" t="n"/>
      <c r="F26" s="184">
        <f>SUMIFS(Data!$I$2:$I$200,Data!$A$2:$A$200,"July 2026",Data!$F$2:$F$200,"*Raju*")</f>
        <v/>
      </c>
      <c r="G26" s="185" t="n"/>
      <c r="H26" s="184">
        <f>SUMIFS(Data!$I$2:$I$200,Data!$A$2:$A$200,"July 2026",Data!$F$2:$F$200,"*Freeda*")</f>
        <v/>
      </c>
      <c r="I26" s="185" t="n"/>
      <c r="J26" s="184">
        <f>SUMIFS(Data!$I$2:$I$200,Data!$A$2:$A$200,"July 2026",Data!$F$2:$F$200,"*Harish*")</f>
        <v/>
      </c>
      <c r="K26" s="185" t="n"/>
      <c r="L26" s="184">
        <f>SUMIFS(Data!$I$2:$I$200,Data!$A$2:$A$200,"July 2026",Data!$F$2:$F$200,"*Girish*")</f>
        <v/>
      </c>
      <c r="M26" s="185" t="n"/>
      <c r="N26" s="186">
        <f>SUM(D26,F26,H26,J26,L26)</f>
        <v/>
      </c>
      <c r="O26" s="187" t="n"/>
    </row>
    <row r="27" ht="13.5" customHeight="1" s="156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2" t="n"/>
      <c r="M27" s="12" t="n"/>
      <c r="N27" s="12" t="n"/>
      <c r="O27" s="12" t="n"/>
      <c r="P27" s="12" t="n"/>
      <c r="Q27" s="12" t="n"/>
      <c r="R27" s="1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38" t="n"/>
      <c r="B28" s="177" t="inlineStr">
        <is>
          <t>TRAINING ANALYTICS</t>
        </is>
      </c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188" t="inlineStr">
        <is>
          <t>Monthly Hours by Trainer</t>
        </is>
      </c>
      <c r="G29" s="188" t="inlineStr">
        <is>
          <t>Online vs Offline</t>
        </is>
      </c>
      <c r="K29" s="188" t="inlineStr">
        <is>
          <t>Hours by Activity Type</t>
        </is>
      </c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  <c r="L61" s="12" t="n"/>
      <c r="M61" s="12" t="n"/>
      <c r="N61" s="12" t="n"/>
      <c r="O61" s="12" t="n"/>
      <c r="P61" s="12" t="n"/>
      <c r="Q61" s="12" t="n"/>
      <c r="R61" s="1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40" t="n"/>
      <c r="B62" s="177" t="inlineStr">
        <is>
          <t>COMPLETE ACTIVITY LOG  —  Filters with dropdown above</t>
        </is>
      </c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30" t="inlineStr">
        <is>
          <t>Month</t>
        </is>
      </c>
      <c r="C63" s="30" t="inlineStr">
        <is>
          <t>Type of Training</t>
        </is>
      </c>
      <c r="D63" s="29" t="n"/>
      <c r="E63" s="30" t="inlineStr">
        <is>
          <t>Training Details</t>
        </is>
      </c>
      <c r="F63" s="29" t="n"/>
      <c r="G63" s="30" t="inlineStr">
        <is>
          <t>Start Date</t>
        </is>
      </c>
      <c r="H63" s="30" t="inlineStr">
        <is>
          <t>Completed</t>
        </is>
      </c>
      <c r="I63" s="29" t="n"/>
      <c r="J63" s="30" t="inlineStr">
        <is>
          <t>Trainer Name</t>
        </is>
      </c>
      <c r="K63" s="29" t="n"/>
      <c r="L63" s="30" t="inlineStr">
        <is>
          <t>Session</t>
        </is>
      </c>
      <c r="M63" s="29" t="n"/>
      <c r="N63" s="30" t="inlineStr">
        <is>
          <t>Topic Covered</t>
        </is>
      </c>
      <c r="O63" s="29" t="n"/>
      <c r="P63" s="29" t="n"/>
      <c r="Q63" s="30" t="inlineStr">
        <is>
          <t>Man Hours</t>
        </is>
      </c>
      <c r="R63" s="29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41">
        <f>IFERROR(_xlfn.FILTER(Data!$A$2:$A$1000, ((Data!$A$2:$A$1000=$D$6)+($D$6="All Months")) * (Data!$A$2:$A$1000&lt;&gt;"")), "")</f>
        <v/>
      </c>
      <c r="C64" s="41">
        <f>IFERROR(_xlfn.FILTER(Data!$B$2:$B$1000, ((Data!$A$2:$A$1000=$D$6)+($D$6="All Months")) * (Data!$A$2:$A$1000&lt;&gt;"")), "")</f>
        <v/>
      </c>
      <c r="D64" s="34" t="n"/>
      <c r="E64" s="41">
        <f>IFERROR(_xlfn.FILTER(Data!$C$2:$C$1000, ((Data!$A$2:$A$1000=$D$6)+($D$6="All Months")) * (Data!$A$2:$A$1000&lt;&gt;"")), "")</f>
        <v/>
      </c>
      <c r="F64" s="34" t="n"/>
      <c r="G64" s="41">
        <f>IFERROR(_xlfn.FILTER(Data!$D$2:$D$1000, ((Data!$A$2:$A$1000=$D$6)+($D$6="All Months")) * (Data!$A$2:$A$1000&lt;&gt;"")), "")</f>
        <v/>
      </c>
      <c r="H64" s="41">
        <f>IFERROR(_xlfn.FILTER(Data!$E$2:$E$1000, ((Data!$A$2:$A$1000=$D$6)+($D$6="All Months")) * (Data!$A$2:$A$1000&lt;&gt;"")), "")</f>
        <v/>
      </c>
      <c r="I64" s="34" t="n"/>
      <c r="J64" s="41">
        <f>IFERROR(_xlfn.FILTER(Data!$F$2:$F$1000, ((Data!$A$2:$A$1000=$D$6)+($D$6="All Months")) * (Data!$A$2:$A$1000&lt;&gt;"")), "")</f>
        <v/>
      </c>
      <c r="K64" s="34" t="n"/>
      <c r="L64" s="41">
        <f>IFERROR(_xlfn.FILTER(Data!$G$2:$G$1000, ((Data!$A$2:$A$1000=$D$6)+($D$6="All Months")) * (Data!$A$2:$A$1000&lt;&gt;"")), "")</f>
        <v/>
      </c>
      <c r="M64" s="34" t="n"/>
      <c r="N64" s="41">
        <f>IFERROR(_xlfn.FILTER(Data!$H$2:$H$1000, ((Data!$A$2:$A$1000=$D$6)+($D$6="All Months")) * (Data!$A$2:$A$1000&lt;&gt;"")), "")</f>
        <v/>
      </c>
      <c r="O64" s="34" t="n"/>
      <c r="P64" s="34" t="n"/>
      <c r="Q64" s="41">
        <f>IFERROR(_xlfn.FILTER(Data!$I$2:$I$1000, ((Data!$A$2:$A$1000=$D$6)+($D$6="All Months")) * (Data!$A$2:$A$1000&lt;&gt;"")), "")</f>
        <v/>
      </c>
      <c r="R64" s="34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42" t="n"/>
      <c r="C65" s="42" t="n"/>
      <c r="D65" s="29" t="n"/>
      <c r="E65" s="42" t="n"/>
      <c r="F65" s="29" t="n"/>
      <c r="G65" s="42" t="n"/>
      <c r="H65" s="42" t="n"/>
      <c r="I65" s="29" t="n"/>
      <c r="J65" s="42" t="n"/>
      <c r="K65" s="29" t="n"/>
      <c r="L65" s="42" t="n"/>
      <c r="M65" s="29" t="n"/>
      <c r="N65" s="42" t="n"/>
      <c r="O65" s="29" t="n"/>
      <c r="P65" s="29" t="n"/>
      <c r="Q65" s="42" t="n"/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43" t="n"/>
      <c r="C66" s="43" t="n"/>
      <c r="D66" s="34" t="n"/>
      <c r="E66" s="43" t="n"/>
      <c r="F66" s="34" t="n"/>
      <c r="G66" s="43" t="n"/>
      <c r="H66" s="43" t="n"/>
      <c r="I66" s="34" t="n"/>
      <c r="J66" s="43" t="n"/>
      <c r="K66" s="34" t="n"/>
      <c r="L66" s="43" t="n"/>
      <c r="M66" s="34" t="n"/>
      <c r="N66" s="43" t="n"/>
      <c r="O66" s="34" t="n"/>
      <c r="P66" s="34" t="n"/>
      <c r="Q66" s="43" t="n"/>
      <c r="R66" s="34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42" t="n"/>
      <c r="C67" s="42" t="n"/>
      <c r="D67" s="29" t="n"/>
      <c r="E67" s="42" t="n"/>
      <c r="F67" s="29" t="n"/>
      <c r="G67" s="42" t="n"/>
      <c r="H67" s="42" t="n"/>
      <c r="I67" s="29" t="n"/>
      <c r="J67" s="42" t="n"/>
      <c r="K67" s="29" t="n"/>
      <c r="L67" s="42" t="n"/>
      <c r="M67" s="29" t="n"/>
      <c r="N67" s="42" t="n"/>
      <c r="O67" s="29" t="n"/>
      <c r="P67" s="29" t="n"/>
      <c r="Q67" s="42" t="n"/>
      <c r="R67" s="29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43" t="n"/>
      <c r="C68" s="43" t="n"/>
      <c r="D68" s="34" t="n"/>
      <c r="E68" s="43" t="n"/>
      <c r="F68" s="34" t="n"/>
      <c r="G68" s="43" t="n"/>
      <c r="H68" s="43" t="n"/>
      <c r="I68" s="34" t="n"/>
      <c r="J68" s="43" t="n"/>
      <c r="K68" s="34" t="n"/>
      <c r="L68" s="43" t="n"/>
      <c r="M68" s="34" t="n"/>
      <c r="N68" s="43" t="n"/>
      <c r="O68" s="34" t="n"/>
      <c r="P68" s="34" t="n"/>
      <c r="Q68" s="43" t="n"/>
      <c r="R68" s="34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42" t="n"/>
      <c r="C69" s="42" t="n"/>
      <c r="D69" s="29" t="n"/>
      <c r="E69" s="42" t="n"/>
      <c r="F69" s="29" t="n"/>
      <c r="G69" s="42" t="n"/>
      <c r="H69" s="42" t="n"/>
      <c r="I69" s="29" t="n"/>
      <c r="J69" s="42" t="n"/>
      <c r="K69" s="29" t="n"/>
      <c r="L69" s="42" t="n"/>
      <c r="M69" s="29" t="n"/>
      <c r="N69" s="42" t="n"/>
      <c r="O69" s="29" t="n"/>
      <c r="P69" s="29" t="n"/>
      <c r="Q69" s="42" t="n"/>
      <c r="R69" s="29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43" t="n"/>
      <c r="C70" s="43" t="n"/>
      <c r="D70" s="34" t="n"/>
      <c r="E70" s="43" t="n"/>
      <c r="F70" s="34" t="n"/>
      <c r="G70" s="43" t="n"/>
      <c r="H70" s="43" t="n"/>
      <c r="I70" s="34" t="n"/>
      <c r="J70" s="43" t="n"/>
      <c r="K70" s="34" t="n"/>
      <c r="L70" s="43" t="n"/>
      <c r="M70" s="34" t="n"/>
      <c r="N70" s="43" t="n"/>
      <c r="O70" s="34" t="n"/>
      <c r="P70" s="34" t="n"/>
      <c r="Q70" s="43" t="n"/>
      <c r="R70" s="34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42" t="n"/>
      <c r="C71" s="42" t="n"/>
      <c r="D71" s="29" t="n"/>
      <c r="E71" s="42" t="n"/>
      <c r="F71" s="29" t="n"/>
      <c r="G71" s="42" t="n"/>
      <c r="H71" s="42" t="n"/>
      <c r="I71" s="29" t="n"/>
      <c r="J71" s="42" t="n"/>
      <c r="K71" s="29" t="n"/>
      <c r="L71" s="42" t="n"/>
      <c r="M71" s="29" t="n"/>
      <c r="N71" s="42" t="n"/>
      <c r="O71" s="29" t="n"/>
      <c r="P71" s="29" t="n"/>
      <c r="Q71" s="42" t="n"/>
      <c r="R71" s="29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43" t="n"/>
      <c r="C72" s="43" t="n"/>
      <c r="D72" s="34" t="n"/>
      <c r="E72" s="43" t="n"/>
      <c r="F72" s="34" t="n"/>
      <c r="G72" s="43" t="n"/>
      <c r="H72" s="43" t="n"/>
      <c r="I72" s="34" t="n"/>
      <c r="J72" s="43" t="n"/>
      <c r="K72" s="34" t="n"/>
      <c r="L72" s="43" t="n"/>
      <c r="M72" s="34" t="n"/>
      <c r="N72" s="43" t="n"/>
      <c r="O72" s="34" t="n"/>
      <c r="P72" s="34" t="n"/>
      <c r="Q72" s="43" t="n"/>
      <c r="R72" s="34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42" t="n"/>
      <c r="C73" s="42" t="n"/>
      <c r="D73" s="29" t="n"/>
      <c r="E73" s="42" t="n"/>
      <c r="F73" s="29" t="n"/>
      <c r="G73" s="42" t="n"/>
      <c r="H73" s="42" t="n"/>
      <c r="I73" s="29" t="n"/>
      <c r="J73" s="42" t="n"/>
      <c r="K73" s="29" t="n"/>
      <c r="L73" s="42" t="n"/>
      <c r="M73" s="29" t="n"/>
      <c r="N73" s="42" t="n"/>
      <c r="O73" s="29" t="n"/>
      <c r="P73" s="29" t="n"/>
      <c r="Q73" s="42" t="n"/>
      <c r="R73" s="29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43" t="n"/>
      <c r="C74" s="43" t="n"/>
      <c r="D74" s="34" t="n"/>
      <c r="E74" s="43" t="n"/>
      <c r="F74" s="34" t="n"/>
      <c r="G74" s="43" t="n"/>
      <c r="H74" s="43" t="n"/>
      <c r="I74" s="34" t="n"/>
      <c r="J74" s="43" t="n"/>
      <c r="K74" s="34" t="n"/>
      <c r="L74" s="43" t="n"/>
      <c r="M74" s="34" t="n"/>
      <c r="N74" s="43" t="n"/>
      <c r="O74" s="34" t="n"/>
      <c r="P74" s="34" t="n"/>
      <c r="Q74" s="43" t="n"/>
      <c r="R74" s="34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42" t="n"/>
      <c r="C75" s="42" t="n"/>
      <c r="D75" s="29" t="n"/>
      <c r="E75" s="42" t="n"/>
      <c r="F75" s="29" t="n"/>
      <c r="G75" s="42" t="n"/>
      <c r="H75" s="42" t="n"/>
      <c r="I75" s="29" t="n"/>
      <c r="J75" s="42" t="n"/>
      <c r="K75" s="29" t="n"/>
      <c r="L75" s="42" t="n"/>
      <c r="M75" s="29" t="n"/>
      <c r="N75" s="42" t="n"/>
      <c r="O75" s="29" t="n"/>
      <c r="P75" s="29" t="n"/>
      <c r="Q75" s="42" t="n"/>
      <c r="R75" s="29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43" t="n"/>
      <c r="C76" s="43" t="n"/>
      <c r="D76" s="34" t="n"/>
      <c r="E76" s="43" t="n"/>
      <c r="F76" s="34" t="n"/>
      <c r="G76" s="43" t="n"/>
      <c r="H76" s="43" t="n"/>
      <c r="I76" s="34" t="n"/>
      <c r="J76" s="43" t="n"/>
      <c r="K76" s="34" t="n"/>
      <c r="L76" s="43" t="n"/>
      <c r="M76" s="34" t="n"/>
      <c r="N76" s="43" t="n"/>
      <c r="O76" s="34" t="n"/>
      <c r="P76" s="34" t="n"/>
      <c r="Q76" s="43" t="n"/>
      <c r="R76" s="34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42" t="n"/>
      <c r="C77" s="42" t="n"/>
      <c r="D77" s="29" t="n"/>
      <c r="E77" s="42" t="n"/>
      <c r="F77" s="29" t="n"/>
      <c r="G77" s="42" t="n"/>
      <c r="H77" s="42" t="n"/>
      <c r="I77" s="29" t="n"/>
      <c r="J77" s="42" t="n"/>
      <c r="K77" s="29" t="n"/>
      <c r="L77" s="42" t="n"/>
      <c r="M77" s="29" t="n"/>
      <c r="N77" s="42" t="n"/>
      <c r="O77" s="29" t="n"/>
      <c r="P77" s="29" t="n"/>
      <c r="Q77" s="42" t="n"/>
      <c r="R77" s="29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43" t="n"/>
      <c r="C78" s="43" t="n"/>
      <c r="D78" s="34" t="n"/>
      <c r="E78" s="43" t="n"/>
      <c r="F78" s="34" t="n"/>
      <c r="G78" s="43" t="n"/>
      <c r="H78" s="43" t="n"/>
      <c r="I78" s="34" t="n"/>
      <c r="J78" s="43" t="n"/>
      <c r="K78" s="34" t="n"/>
      <c r="L78" s="43" t="n"/>
      <c r="M78" s="34" t="n"/>
      <c r="N78" s="43" t="n"/>
      <c r="O78" s="34" t="n"/>
      <c r="P78" s="34" t="n"/>
      <c r="Q78" s="43" t="n"/>
      <c r="R78" s="34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42" t="n"/>
      <c r="C79" s="42" t="n"/>
      <c r="D79" s="29" t="n"/>
      <c r="E79" s="42" t="n"/>
      <c r="F79" s="29" t="n"/>
      <c r="G79" s="42" t="n"/>
      <c r="H79" s="42" t="n"/>
      <c r="I79" s="29" t="n"/>
      <c r="J79" s="42" t="n"/>
      <c r="K79" s="29" t="n"/>
      <c r="L79" s="42" t="n"/>
      <c r="M79" s="29" t="n"/>
      <c r="N79" s="42" t="n"/>
      <c r="O79" s="29" t="n"/>
      <c r="P79" s="29" t="n"/>
      <c r="Q79" s="42" t="n"/>
      <c r="R79" s="29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43" t="n"/>
      <c r="C80" s="43" t="n"/>
      <c r="D80" s="34" t="n"/>
      <c r="E80" s="43" t="n"/>
      <c r="F80" s="34" t="n"/>
      <c r="G80" s="43" t="n"/>
      <c r="H80" s="43" t="n"/>
      <c r="I80" s="34" t="n"/>
      <c r="J80" s="43" t="n"/>
      <c r="K80" s="34" t="n"/>
      <c r="L80" s="43" t="n"/>
      <c r="M80" s="34" t="n"/>
      <c r="N80" s="43" t="n"/>
      <c r="O80" s="34" t="n"/>
      <c r="P80" s="34" t="n"/>
      <c r="Q80" s="43" t="n"/>
      <c r="R80" s="34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42" t="n"/>
      <c r="C81" s="42" t="n"/>
      <c r="D81" s="29" t="n"/>
      <c r="E81" s="42" t="n"/>
      <c r="F81" s="29" t="n"/>
      <c r="G81" s="42" t="n"/>
      <c r="H81" s="42" t="n"/>
      <c r="I81" s="29" t="n"/>
      <c r="J81" s="42" t="n"/>
      <c r="K81" s="29" t="n"/>
      <c r="L81" s="42" t="n"/>
      <c r="M81" s="29" t="n"/>
      <c r="N81" s="42" t="n"/>
      <c r="O81" s="29" t="n"/>
      <c r="P81" s="29" t="n"/>
      <c r="Q81" s="42" t="n"/>
      <c r="R81" s="29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43" t="n"/>
      <c r="C82" s="43" t="n"/>
      <c r="D82" s="34" t="n"/>
      <c r="E82" s="43" t="n"/>
      <c r="F82" s="34" t="n"/>
      <c r="G82" s="43" t="n"/>
      <c r="H82" s="43" t="n"/>
      <c r="I82" s="34" t="n"/>
      <c r="J82" s="43" t="n"/>
      <c r="K82" s="34" t="n"/>
      <c r="L82" s="43" t="n"/>
      <c r="M82" s="34" t="n"/>
      <c r="N82" s="43" t="n"/>
      <c r="O82" s="34" t="n"/>
      <c r="P82" s="34" t="n"/>
      <c r="Q82" s="43" t="n"/>
      <c r="R82" s="34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42" t="n"/>
      <c r="C83" s="42" t="n"/>
      <c r="D83" s="29" t="n"/>
      <c r="E83" s="42" t="n"/>
      <c r="F83" s="29" t="n"/>
      <c r="G83" s="42" t="n"/>
      <c r="H83" s="42" t="n"/>
      <c r="I83" s="29" t="n"/>
      <c r="J83" s="42" t="n"/>
      <c r="K83" s="29" t="n"/>
      <c r="L83" s="42" t="n"/>
      <c r="M83" s="29" t="n"/>
      <c r="N83" s="42" t="n"/>
      <c r="O83" s="29" t="n"/>
      <c r="P83" s="29" t="n"/>
      <c r="Q83" s="42" t="n"/>
      <c r="R83" s="29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43" t="n"/>
      <c r="C84" s="43" t="n"/>
      <c r="D84" s="34" t="n"/>
      <c r="E84" s="43" t="n"/>
      <c r="F84" s="34" t="n"/>
      <c r="G84" s="43" t="n"/>
      <c r="H84" s="43" t="n"/>
      <c r="I84" s="34" t="n"/>
      <c r="J84" s="43" t="n"/>
      <c r="K84" s="34" t="n"/>
      <c r="L84" s="43" t="n"/>
      <c r="M84" s="34" t="n"/>
      <c r="N84" s="43" t="n"/>
      <c r="O84" s="34" t="n"/>
      <c r="P84" s="34" t="n"/>
      <c r="Q84" s="43" t="n"/>
      <c r="R84" s="34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42" t="n"/>
      <c r="C85" s="42" t="n"/>
      <c r="D85" s="29" t="n"/>
      <c r="E85" s="42" t="n"/>
      <c r="F85" s="29" t="n"/>
      <c r="G85" s="42" t="n"/>
      <c r="H85" s="42" t="n"/>
      <c r="I85" s="29" t="n"/>
      <c r="J85" s="42" t="n"/>
      <c r="K85" s="29" t="n"/>
      <c r="L85" s="42" t="n"/>
      <c r="M85" s="29" t="n"/>
      <c r="N85" s="42" t="n"/>
      <c r="O85" s="29" t="n"/>
      <c r="P85" s="29" t="n"/>
      <c r="Q85" s="42" t="n"/>
      <c r="R85" s="29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43" t="n"/>
      <c r="C86" s="43" t="n"/>
      <c r="D86" s="34" t="n"/>
      <c r="E86" s="43" t="n"/>
      <c r="F86" s="34" t="n"/>
      <c r="G86" s="43" t="n"/>
      <c r="H86" s="43" t="n"/>
      <c r="I86" s="34" t="n"/>
      <c r="J86" s="43" t="n"/>
      <c r="K86" s="34" t="n"/>
      <c r="L86" s="43" t="n"/>
      <c r="M86" s="34" t="n"/>
      <c r="N86" s="43" t="n"/>
      <c r="O86" s="34" t="n"/>
      <c r="P86" s="34" t="n"/>
      <c r="Q86" s="43" t="n"/>
      <c r="R86" s="34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42" t="n"/>
      <c r="C87" s="42" t="n"/>
      <c r="D87" s="29" t="n"/>
      <c r="E87" s="42" t="n"/>
      <c r="F87" s="29" t="n"/>
      <c r="G87" s="42" t="n"/>
      <c r="H87" s="42" t="n"/>
      <c r="I87" s="29" t="n"/>
      <c r="J87" s="42" t="n"/>
      <c r="K87" s="29" t="n"/>
      <c r="L87" s="42" t="n"/>
      <c r="M87" s="29" t="n"/>
      <c r="N87" s="42" t="n"/>
      <c r="O87" s="29" t="n"/>
      <c r="P87" s="29" t="n"/>
      <c r="Q87" s="42" t="n"/>
      <c r="R87" s="29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43" t="n"/>
      <c r="C88" s="43" t="n"/>
      <c r="D88" s="34" t="n"/>
      <c r="E88" s="43" t="n"/>
      <c r="F88" s="34" t="n"/>
      <c r="G88" s="43" t="n"/>
      <c r="H88" s="43" t="n"/>
      <c r="I88" s="34" t="n"/>
      <c r="J88" s="43" t="n"/>
      <c r="K88" s="34" t="n"/>
      <c r="L88" s="43" t="n"/>
      <c r="M88" s="34" t="n"/>
      <c r="N88" s="43" t="n"/>
      <c r="O88" s="34" t="n"/>
      <c r="P88" s="34" t="n"/>
      <c r="Q88" s="43" t="n"/>
      <c r="R88" s="34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42" t="n"/>
      <c r="C89" s="42" t="n"/>
      <c r="D89" s="29" t="n"/>
      <c r="E89" s="42" t="n"/>
      <c r="F89" s="29" t="n"/>
      <c r="G89" s="42" t="n"/>
      <c r="H89" s="42" t="n"/>
      <c r="I89" s="29" t="n"/>
      <c r="J89" s="42" t="n"/>
      <c r="K89" s="29" t="n"/>
      <c r="L89" s="42" t="n"/>
      <c r="M89" s="29" t="n"/>
      <c r="N89" s="42" t="n"/>
      <c r="O89" s="29" t="n"/>
      <c r="P89" s="29" t="n"/>
      <c r="Q89" s="42" t="n"/>
      <c r="R89" s="29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43" t="n"/>
      <c r="C90" s="43" t="n"/>
      <c r="D90" s="34" t="n"/>
      <c r="E90" s="43" t="n"/>
      <c r="F90" s="34" t="n"/>
      <c r="G90" s="43" t="n"/>
      <c r="H90" s="43" t="n"/>
      <c r="I90" s="34" t="n"/>
      <c r="J90" s="43" t="n"/>
      <c r="K90" s="34" t="n"/>
      <c r="L90" s="43" t="n"/>
      <c r="M90" s="34" t="n"/>
      <c r="N90" s="43" t="n"/>
      <c r="O90" s="34" t="n"/>
      <c r="P90" s="34" t="n"/>
      <c r="Q90" s="43" t="n"/>
      <c r="R90" s="34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42" t="n"/>
      <c r="C91" s="42" t="n"/>
      <c r="D91" s="29" t="n"/>
      <c r="E91" s="42" t="n"/>
      <c r="F91" s="29" t="n"/>
      <c r="G91" s="42" t="n"/>
      <c r="H91" s="42" t="n"/>
      <c r="I91" s="29" t="n"/>
      <c r="J91" s="42" t="n"/>
      <c r="K91" s="29" t="n"/>
      <c r="L91" s="42" t="n"/>
      <c r="M91" s="29" t="n"/>
      <c r="N91" s="42" t="n"/>
      <c r="O91" s="29" t="n"/>
      <c r="P91" s="29" t="n"/>
      <c r="Q91" s="42" t="n"/>
      <c r="R91" s="29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43" t="n"/>
      <c r="C92" s="43" t="n"/>
      <c r="D92" s="34" t="n"/>
      <c r="E92" s="43" t="n"/>
      <c r="F92" s="34" t="n"/>
      <c r="G92" s="43" t="n"/>
      <c r="H92" s="43" t="n"/>
      <c r="I92" s="34" t="n"/>
      <c r="J92" s="43" t="n"/>
      <c r="K92" s="34" t="n"/>
      <c r="L92" s="43" t="n"/>
      <c r="M92" s="34" t="n"/>
      <c r="N92" s="43" t="n"/>
      <c r="O92" s="34" t="n"/>
      <c r="P92" s="34" t="n"/>
      <c r="Q92" s="43" t="n"/>
      <c r="R92" s="34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42" t="n"/>
      <c r="C93" s="42" t="n"/>
      <c r="D93" s="29" t="n"/>
      <c r="E93" s="42" t="n"/>
      <c r="F93" s="29" t="n"/>
      <c r="G93" s="42" t="n"/>
      <c r="H93" s="42" t="n"/>
      <c r="I93" s="29" t="n"/>
      <c r="J93" s="42" t="n"/>
      <c r="K93" s="29" t="n"/>
      <c r="L93" s="42" t="n"/>
      <c r="M93" s="29" t="n"/>
      <c r="N93" s="42" t="n"/>
      <c r="O93" s="29" t="n"/>
      <c r="P93" s="29" t="n"/>
      <c r="Q93" s="42" t="n"/>
      <c r="R93" s="29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43" t="n"/>
      <c r="C94" s="43" t="n"/>
      <c r="D94" s="34" t="n"/>
      <c r="E94" s="43" t="n"/>
      <c r="F94" s="34" t="n"/>
      <c r="G94" s="43" t="n"/>
      <c r="H94" s="43" t="n"/>
      <c r="I94" s="34" t="n"/>
      <c r="J94" s="43" t="n"/>
      <c r="K94" s="34" t="n"/>
      <c r="L94" s="43" t="n"/>
      <c r="M94" s="34" t="n"/>
      <c r="N94" s="43" t="n"/>
      <c r="O94" s="34" t="n"/>
      <c r="P94" s="34" t="n"/>
      <c r="Q94" s="43" t="n"/>
      <c r="R94" s="34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42" t="n"/>
      <c r="C95" s="42" t="n"/>
      <c r="D95" s="29" t="n"/>
      <c r="E95" s="42" t="n"/>
      <c r="F95" s="29" t="n"/>
      <c r="G95" s="42" t="n"/>
      <c r="H95" s="42" t="n"/>
      <c r="I95" s="29" t="n"/>
      <c r="J95" s="42" t="n"/>
      <c r="K95" s="29" t="n"/>
      <c r="L95" s="42" t="n"/>
      <c r="M95" s="29" t="n"/>
      <c r="N95" s="42" t="n"/>
      <c r="O95" s="29" t="n"/>
      <c r="P95" s="29" t="n"/>
      <c r="Q95" s="42" t="n"/>
      <c r="R95" s="29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43" t="n"/>
      <c r="C96" s="43" t="n"/>
      <c r="D96" s="34" t="n"/>
      <c r="E96" s="43" t="n"/>
      <c r="F96" s="34" t="n"/>
      <c r="G96" s="43" t="n"/>
      <c r="H96" s="43" t="n"/>
      <c r="I96" s="34" t="n"/>
      <c r="J96" s="43" t="n"/>
      <c r="K96" s="34" t="n"/>
      <c r="L96" s="43" t="n"/>
      <c r="M96" s="34" t="n"/>
      <c r="N96" s="43" t="n"/>
      <c r="O96" s="34" t="n"/>
      <c r="P96" s="34" t="n"/>
      <c r="Q96" s="43" t="n"/>
      <c r="R96" s="34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42" t="n"/>
      <c r="C97" s="42" t="n"/>
      <c r="D97" s="29" t="n"/>
      <c r="E97" s="42" t="n"/>
      <c r="F97" s="29" t="n"/>
      <c r="G97" s="42" t="n"/>
      <c r="H97" s="42" t="n"/>
      <c r="I97" s="29" t="n"/>
      <c r="J97" s="42" t="n"/>
      <c r="K97" s="29" t="n"/>
      <c r="L97" s="42" t="n"/>
      <c r="M97" s="29" t="n"/>
      <c r="N97" s="42" t="n"/>
      <c r="O97" s="29" t="n"/>
      <c r="P97" s="29" t="n"/>
      <c r="Q97" s="42" t="n"/>
      <c r="R97" s="29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43" t="n"/>
      <c r="C98" s="43" t="n"/>
      <c r="D98" s="34" t="n"/>
      <c r="E98" s="43" t="n"/>
      <c r="F98" s="34" t="n"/>
      <c r="G98" s="43" t="n"/>
      <c r="H98" s="43" t="n"/>
      <c r="I98" s="34" t="n"/>
      <c r="J98" s="43" t="n"/>
      <c r="K98" s="34" t="n"/>
      <c r="L98" s="43" t="n"/>
      <c r="M98" s="34" t="n"/>
      <c r="N98" s="43" t="n"/>
      <c r="O98" s="34" t="n"/>
      <c r="P98" s="34" t="n"/>
      <c r="Q98" s="43" t="n"/>
      <c r="R98" s="34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42" t="n"/>
      <c r="C99" s="42" t="n"/>
      <c r="D99" s="29" t="n"/>
      <c r="E99" s="42" t="n"/>
      <c r="F99" s="29" t="n"/>
      <c r="G99" s="42" t="n"/>
      <c r="H99" s="42" t="n"/>
      <c r="I99" s="29" t="n"/>
      <c r="J99" s="42" t="n"/>
      <c r="K99" s="29" t="n"/>
      <c r="L99" s="42" t="n"/>
      <c r="M99" s="29" t="n"/>
      <c r="N99" s="42" t="n"/>
      <c r="O99" s="29" t="n"/>
      <c r="P99" s="29" t="n"/>
      <c r="Q99" s="42" t="n"/>
      <c r="R99" s="29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43" t="n"/>
      <c r="C100" s="43" t="n"/>
      <c r="D100" s="34" t="n"/>
      <c r="E100" s="43" t="n"/>
      <c r="F100" s="34" t="n"/>
      <c r="G100" s="43" t="n"/>
      <c r="H100" s="43" t="n"/>
      <c r="I100" s="34" t="n"/>
      <c r="J100" s="43" t="n"/>
      <c r="K100" s="34" t="n"/>
      <c r="L100" s="43" t="n"/>
      <c r="M100" s="34" t="n"/>
      <c r="N100" s="43" t="n"/>
      <c r="O100" s="34" t="n"/>
      <c r="P100" s="34" t="n"/>
      <c r="Q100" s="43" t="n"/>
      <c r="R100" s="34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42" t="n"/>
      <c r="C101" s="42" t="n"/>
      <c r="D101" s="29" t="n"/>
      <c r="E101" s="42" t="n"/>
      <c r="F101" s="29" t="n"/>
      <c r="G101" s="42" t="n"/>
      <c r="H101" s="42" t="n"/>
      <c r="I101" s="29" t="n"/>
      <c r="J101" s="42" t="n"/>
      <c r="K101" s="29" t="n"/>
      <c r="L101" s="42" t="n"/>
      <c r="M101" s="29" t="n"/>
      <c r="N101" s="42" t="n"/>
      <c r="O101" s="29" t="n"/>
      <c r="P101" s="29" t="n"/>
      <c r="Q101" s="42" t="n"/>
      <c r="R101" s="29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43" t="n"/>
      <c r="C102" s="43" t="n"/>
      <c r="D102" s="34" t="n"/>
      <c r="E102" s="43" t="n"/>
      <c r="F102" s="34" t="n"/>
      <c r="G102" s="43" t="n"/>
      <c r="H102" s="43" t="n"/>
      <c r="I102" s="34" t="n"/>
      <c r="J102" s="43" t="n"/>
      <c r="K102" s="34" t="n"/>
      <c r="L102" s="43" t="n"/>
      <c r="M102" s="34" t="n"/>
      <c r="N102" s="43" t="n"/>
      <c r="O102" s="34" t="n"/>
      <c r="P102" s="34" t="n"/>
      <c r="Q102" s="43" t="n"/>
      <c r="R102" s="34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42" t="n"/>
      <c r="C103" s="42" t="n"/>
      <c r="D103" s="29" t="n"/>
      <c r="E103" s="42" t="n"/>
      <c r="F103" s="29" t="n"/>
      <c r="G103" s="42" t="n"/>
      <c r="H103" s="42" t="n"/>
      <c r="I103" s="29" t="n"/>
      <c r="J103" s="42" t="n"/>
      <c r="K103" s="29" t="n"/>
      <c r="L103" s="42" t="n"/>
      <c r="M103" s="29" t="n"/>
      <c r="N103" s="42" t="n"/>
      <c r="O103" s="29" t="n"/>
      <c r="P103" s="29" t="n"/>
      <c r="Q103" s="42" t="n"/>
      <c r="R103" s="29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43" t="n"/>
      <c r="C104" s="43" t="n"/>
      <c r="D104" s="34" t="n"/>
      <c r="E104" s="43" t="n"/>
      <c r="F104" s="34" t="n"/>
      <c r="G104" s="43" t="n"/>
      <c r="H104" s="43" t="n"/>
      <c r="I104" s="34" t="n"/>
      <c r="J104" s="43" t="n"/>
      <c r="K104" s="34" t="n"/>
      <c r="L104" s="43" t="n"/>
      <c r="M104" s="34" t="n"/>
      <c r="N104" s="43" t="n"/>
      <c r="O104" s="34" t="n"/>
      <c r="P104" s="34" t="n"/>
      <c r="Q104" s="43" t="n"/>
      <c r="R104" s="34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42" t="n"/>
      <c r="C105" s="42" t="n"/>
      <c r="D105" s="29" t="n"/>
      <c r="E105" s="42" t="n"/>
      <c r="F105" s="29" t="n"/>
      <c r="G105" s="42" t="n"/>
      <c r="H105" s="42" t="n"/>
      <c r="I105" s="29" t="n"/>
      <c r="J105" s="42" t="n"/>
      <c r="K105" s="29" t="n"/>
      <c r="L105" s="42" t="n"/>
      <c r="M105" s="29" t="n"/>
      <c r="N105" s="42" t="n"/>
      <c r="O105" s="29" t="n"/>
      <c r="P105" s="29" t="n"/>
      <c r="Q105" s="42" t="n"/>
      <c r="R105" s="29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43" t="n"/>
      <c r="C106" s="43" t="n"/>
      <c r="D106" s="34" t="n"/>
      <c r="E106" s="43" t="n"/>
      <c r="F106" s="34" t="n"/>
      <c r="G106" s="43" t="n"/>
      <c r="H106" s="43" t="n"/>
      <c r="I106" s="34" t="n"/>
      <c r="J106" s="43" t="n"/>
      <c r="K106" s="34" t="n"/>
      <c r="L106" s="43" t="n"/>
      <c r="M106" s="34" t="n"/>
      <c r="N106" s="43" t="n"/>
      <c r="O106" s="34" t="n"/>
      <c r="P106" s="34" t="n"/>
      <c r="Q106" s="43" t="n"/>
      <c r="R106" s="34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42" t="n"/>
      <c r="C107" s="42" t="n"/>
      <c r="D107" s="29" t="n"/>
      <c r="E107" s="42" t="n"/>
      <c r="F107" s="29" t="n"/>
      <c r="G107" s="42" t="n"/>
      <c r="H107" s="42" t="n"/>
      <c r="I107" s="29" t="n"/>
      <c r="J107" s="42" t="n"/>
      <c r="K107" s="29" t="n"/>
      <c r="L107" s="42" t="n"/>
      <c r="M107" s="29" t="n"/>
      <c r="N107" s="42" t="n"/>
      <c r="O107" s="29" t="n"/>
      <c r="P107" s="29" t="n"/>
      <c r="Q107" s="42" t="n"/>
      <c r="R107" s="29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43" t="n"/>
      <c r="C108" s="43" t="n"/>
      <c r="D108" s="34" t="n"/>
      <c r="E108" s="43" t="n"/>
      <c r="F108" s="34" t="n"/>
      <c r="G108" s="43" t="n"/>
      <c r="H108" s="43" t="n"/>
      <c r="I108" s="34" t="n"/>
      <c r="J108" s="43" t="n"/>
      <c r="K108" s="34" t="n"/>
      <c r="L108" s="43" t="n"/>
      <c r="M108" s="34" t="n"/>
      <c r="N108" s="43" t="n"/>
      <c r="O108" s="34" t="n"/>
      <c r="P108" s="34" t="n"/>
      <c r="Q108" s="43" t="n"/>
      <c r="R108" s="34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42" t="n"/>
      <c r="C109" s="42" t="n"/>
      <c r="D109" s="29" t="n"/>
      <c r="E109" s="42" t="n"/>
      <c r="F109" s="29" t="n"/>
      <c r="G109" s="42" t="n"/>
      <c r="H109" s="42" t="n"/>
      <c r="I109" s="29" t="n"/>
      <c r="J109" s="42" t="n"/>
      <c r="K109" s="29" t="n"/>
      <c r="L109" s="42" t="n"/>
      <c r="M109" s="29" t="n"/>
      <c r="N109" s="42" t="n"/>
      <c r="O109" s="29" t="n"/>
      <c r="P109" s="29" t="n"/>
      <c r="Q109" s="42" t="n"/>
      <c r="R109" s="29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43" t="n"/>
      <c r="C110" s="43" t="n"/>
      <c r="D110" s="34" t="n"/>
      <c r="E110" s="43" t="n"/>
      <c r="F110" s="34" t="n"/>
      <c r="G110" s="43" t="n"/>
      <c r="H110" s="43" t="n"/>
      <c r="I110" s="34" t="n"/>
      <c r="J110" s="43" t="n"/>
      <c r="K110" s="34" t="n"/>
      <c r="L110" s="43" t="n"/>
      <c r="M110" s="34" t="n"/>
      <c r="N110" s="43" t="n"/>
      <c r="O110" s="34" t="n"/>
      <c r="P110" s="34" t="n"/>
      <c r="Q110" s="43" t="n"/>
      <c r="R110" s="34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42" t="n"/>
      <c r="C111" s="42" t="n"/>
      <c r="D111" s="29" t="n"/>
      <c r="E111" s="42" t="n"/>
      <c r="F111" s="29" t="n"/>
      <c r="G111" s="42" t="n"/>
      <c r="H111" s="42" t="n"/>
      <c r="I111" s="29" t="n"/>
      <c r="J111" s="42" t="n"/>
      <c r="K111" s="29" t="n"/>
      <c r="L111" s="42" t="n"/>
      <c r="M111" s="29" t="n"/>
      <c r="N111" s="42" t="n"/>
      <c r="O111" s="29" t="n"/>
      <c r="P111" s="29" t="n"/>
      <c r="Q111" s="42" t="n"/>
      <c r="R111" s="29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43" t="n"/>
      <c r="C112" s="43" t="n"/>
      <c r="D112" s="34" t="n"/>
      <c r="E112" s="43" t="n"/>
      <c r="F112" s="34" t="n"/>
      <c r="G112" s="43" t="n"/>
      <c r="H112" s="43" t="n"/>
      <c r="I112" s="34" t="n"/>
      <c r="J112" s="43" t="n"/>
      <c r="K112" s="34" t="n"/>
      <c r="L112" s="43" t="n"/>
      <c r="M112" s="34" t="n"/>
      <c r="N112" s="43" t="n"/>
      <c r="O112" s="34" t="n"/>
      <c r="P112" s="34" t="n"/>
      <c r="Q112" s="43" t="n"/>
      <c r="R112" s="34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42" t="n"/>
      <c r="C113" s="42" t="n"/>
      <c r="D113" s="29" t="n"/>
      <c r="E113" s="42" t="n"/>
      <c r="F113" s="29" t="n"/>
      <c r="G113" s="42" t="n"/>
      <c r="H113" s="42" t="n"/>
      <c r="I113" s="29" t="n"/>
      <c r="J113" s="42" t="n"/>
      <c r="K113" s="29" t="n"/>
      <c r="L113" s="42" t="n"/>
      <c r="M113" s="29" t="n"/>
      <c r="N113" s="42" t="n"/>
      <c r="O113" s="29" t="n"/>
      <c r="P113" s="29" t="n"/>
      <c r="Q113" s="42" t="n"/>
      <c r="R113" s="29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43" t="n"/>
      <c r="C114" s="43" t="n"/>
      <c r="D114" s="34" t="n"/>
      <c r="E114" s="43" t="n"/>
      <c r="F114" s="34" t="n"/>
      <c r="G114" s="43" t="n"/>
      <c r="H114" s="43" t="n"/>
      <c r="I114" s="34" t="n"/>
      <c r="J114" s="43" t="n"/>
      <c r="K114" s="34" t="n"/>
      <c r="L114" s="43" t="n"/>
      <c r="M114" s="34" t="n"/>
      <c r="N114" s="43" t="n"/>
      <c r="O114" s="34" t="n"/>
      <c r="P114" s="34" t="n"/>
      <c r="Q114" s="43" t="n"/>
      <c r="R114" s="34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42" t="n"/>
      <c r="C115" s="42" t="n"/>
      <c r="D115" s="29" t="n"/>
      <c r="E115" s="42" t="n"/>
      <c r="F115" s="29" t="n"/>
      <c r="G115" s="42" t="n"/>
      <c r="H115" s="42" t="n"/>
      <c r="I115" s="29" t="n"/>
      <c r="J115" s="42" t="n"/>
      <c r="K115" s="29" t="n"/>
      <c r="L115" s="42" t="n"/>
      <c r="M115" s="29" t="n"/>
      <c r="N115" s="42" t="n"/>
      <c r="O115" s="29" t="n"/>
      <c r="P115" s="29" t="n"/>
      <c r="Q115" s="42" t="n"/>
      <c r="R115" s="29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43" t="n"/>
      <c r="C116" s="43" t="n"/>
      <c r="D116" s="34" t="n"/>
      <c r="E116" s="43" t="n"/>
      <c r="F116" s="34" t="n"/>
      <c r="G116" s="43" t="n"/>
      <c r="H116" s="43" t="n"/>
      <c r="I116" s="34" t="n"/>
      <c r="J116" s="43" t="n"/>
      <c r="K116" s="34" t="n"/>
      <c r="L116" s="43" t="n"/>
      <c r="M116" s="34" t="n"/>
      <c r="N116" s="43" t="n"/>
      <c r="O116" s="34" t="n"/>
      <c r="P116" s="34" t="n"/>
      <c r="Q116" s="43" t="n"/>
      <c r="R116" s="34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42" t="n"/>
      <c r="C117" s="42" t="n"/>
      <c r="D117" s="29" t="n"/>
      <c r="E117" s="42" t="n"/>
      <c r="F117" s="29" t="n"/>
      <c r="G117" s="42" t="n"/>
      <c r="H117" s="42" t="n"/>
      <c r="I117" s="29" t="n"/>
      <c r="J117" s="42" t="n"/>
      <c r="K117" s="29" t="n"/>
      <c r="L117" s="42" t="n"/>
      <c r="M117" s="29" t="n"/>
      <c r="N117" s="42" t="n"/>
      <c r="O117" s="29" t="n"/>
      <c r="P117" s="29" t="n"/>
      <c r="Q117" s="42" t="n"/>
      <c r="R117" s="29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43" t="n"/>
      <c r="C118" s="43" t="n"/>
      <c r="D118" s="34" t="n"/>
      <c r="E118" s="43" t="n"/>
      <c r="F118" s="34" t="n"/>
      <c r="G118" s="43" t="n"/>
      <c r="H118" s="43" t="n"/>
      <c r="I118" s="34" t="n"/>
      <c r="J118" s="43" t="n"/>
      <c r="K118" s="34" t="n"/>
      <c r="L118" s="43" t="n"/>
      <c r="M118" s="34" t="n"/>
      <c r="N118" s="43" t="n"/>
      <c r="O118" s="34" t="n"/>
      <c r="P118" s="34" t="n"/>
      <c r="Q118" s="43" t="n"/>
      <c r="R118" s="34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29" t="n"/>
      <c r="C119" s="29" t="n"/>
      <c r="D119" s="29" t="n"/>
      <c r="E119" s="29" t="n"/>
      <c r="F119" s="29" t="n"/>
      <c r="G119" s="29" t="n"/>
      <c r="H119" s="29" t="n"/>
      <c r="I119" s="29" t="n"/>
      <c r="J119" s="29" t="n"/>
      <c r="K119" s="29" t="n"/>
      <c r="L119" s="29" t="n"/>
      <c r="M119" s="29" t="n"/>
      <c r="N119" s="29" t="n"/>
      <c r="O119" s="29" t="n"/>
      <c r="P119" s="29" t="n"/>
      <c r="Q119" s="29" t="n"/>
      <c r="R119" s="29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34" t="n"/>
      <c r="C120" s="34" t="n"/>
      <c r="D120" s="34" t="n"/>
      <c r="E120" s="34" t="n"/>
      <c r="F120" s="34" t="n"/>
      <c r="G120" s="34" t="n"/>
      <c r="H120" s="34" t="n"/>
      <c r="I120" s="34" t="n"/>
      <c r="J120" s="34" t="n"/>
      <c r="K120" s="34" t="n"/>
      <c r="L120" s="34" t="n"/>
      <c r="M120" s="34" t="n"/>
      <c r="N120" s="34" t="n"/>
      <c r="O120" s="34" t="n"/>
      <c r="P120" s="34" t="n"/>
      <c r="Q120" s="34" t="n"/>
      <c r="R120" s="34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29" t="n"/>
      <c r="C121" s="29" t="n"/>
      <c r="D121" s="29" t="n"/>
      <c r="E121" s="29" t="n"/>
      <c r="F121" s="29" t="n"/>
      <c r="G121" s="29" t="n"/>
      <c r="H121" s="29" t="n"/>
      <c r="I121" s="29" t="n"/>
      <c r="J121" s="29" t="n"/>
      <c r="K121" s="29" t="n"/>
      <c r="L121" s="29" t="n"/>
      <c r="M121" s="29" t="n"/>
      <c r="N121" s="29" t="n"/>
      <c r="O121" s="29" t="n"/>
      <c r="P121" s="29" t="n"/>
      <c r="Q121" s="29" t="n"/>
      <c r="R121" s="29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34" t="n"/>
      <c r="C122" s="34" t="n"/>
      <c r="D122" s="34" t="n"/>
      <c r="E122" s="34" t="n"/>
      <c r="F122" s="34" t="n"/>
      <c r="G122" s="34" t="n"/>
      <c r="H122" s="34" t="n"/>
      <c r="I122" s="34" t="n"/>
      <c r="J122" s="34" t="n"/>
      <c r="K122" s="34" t="n"/>
      <c r="L122" s="34" t="n"/>
      <c r="M122" s="34" t="n"/>
      <c r="N122" s="34" t="n"/>
      <c r="O122" s="34" t="n"/>
      <c r="P122" s="34" t="n"/>
      <c r="Q122" s="34" t="n"/>
      <c r="R122" s="34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29" t="n"/>
      <c r="C123" s="29" t="n"/>
      <c r="D123" s="29" t="n"/>
      <c r="E123" s="29" t="n"/>
      <c r="F123" s="29" t="n"/>
      <c r="G123" s="29" t="n"/>
      <c r="H123" s="29" t="n"/>
      <c r="I123" s="29" t="n"/>
      <c r="J123" s="29" t="n"/>
      <c r="K123" s="29" t="n"/>
      <c r="L123" s="29" t="n"/>
      <c r="M123" s="29" t="n"/>
      <c r="N123" s="29" t="n"/>
      <c r="O123" s="29" t="n"/>
      <c r="P123" s="29" t="n"/>
      <c r="Q123" s="29" t="n"/>
      <c r="R123" s="29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29" t="n"/>
      <c r="C124" s="29" t="n"/>
      <c r="D124" s="29" t="n"/>
      <c r="E124" s="29" t="n"/>
      <c r="F124" s="29" t="n"/>
      <c r="G124" s="29" t="n"/>
      <c r="H124" s="29" t="n"/>
      <c r="I124" s="29" t="n"/>
      <c r="J124" s="29" t="n"/>
      <c r="K124" s="29" t="n"/>
      <c r="L124" s="29" t="n"/>
      <c r="M124" s="29" t="n"/>
      <c r="N124" s="29" t="n"/>
      <c r="O124" s="29" t="n"/>
      <c r="P124" s="29" t="n"/>
      <c r="Q124" s="29" t="n"/>
      <c r="R124" s="29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29" t="n"/>
      <c r="C125" s="29" t="n"/>
      <c r="D125" s="29" t="n"/>
      <c r="E125" s="29" t="n"/>
      <c r="F125" s="29" t="n"/>
      <c r="G125" s="29" t="n"/>
      <c r="H125" s="29" t="n"/>
      <c r="I125" s="29" t="n"/>
      <c r="J125" s="29" t="n"/>
      <c r="K125" s="29" t="n"/>
      <c r="L125" s="29" t="n"/>
      <c r="M125" s="29" t="n"/>
      <c r="N125" s="29" t="n"/>
      <c r="O125" s="29" t="n"/>
      <c r="P125" s="29" t="n"/>
      <c r="Q125" s="29" t="n"/>
      <c r="R125" s="29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29" t="n"/>
      <c r="C126" s="29" t="n"/>
      <c r="D126" s="29" t="n"/>
      <c r="E126" s="29" t="n"/>
      <c r="F126" s="29" t="n"/>
      <c r="G126" s="29" t="n"/>
      <c r="H126" s="29" t="n"/>
      <c r="I126" s="29" t="n"/>
      <c r="J126" s="29" t="n"/>
      <c r="K126" s="29" t="n"/>
      <c r="L126" s="29" t="n"/>
      <c r="M126" s="29" t="n"/>
      <c r="N126" s="29" t="n"/>
      <c r="O126" s="29" t="n"/>
      <c r="P126" s="29" t="n"/>
      <c r="Q126" s="29" t="n"/>
      <c r="R126" s="29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29" t="n"/>
      <c r="C127" s="29" t="n"/>
      <c r="D127" s="29" t="n"/>
      <c r="E127" s="29" t="n"/>
      <c r="F127" s="29" t="n"/>
      <c r="G127" s="29" t="n"/>
      <c r="H127" s="29" t="n"/>
      <c r="I127" s="29" t="n"/>
      <c r="J127" s="29" t="n"/>
      <c r="K127" s="29" t="n"/>
      <c r="L127" s="29" t="n"/>
      <c r="M127" s="29" t="n"/>
      <c r="N127" s="29" t="n"/>
      <c r="O127" s="29" t="n"/>
      <c r="P127" s="29" t="n"/>
      <c r="Q127" s="29" t="n"/>
      <c r="R127" s="29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29" t="n"/>
      <c r="C128" s="29" t="n"/>
      <c r="D128" s="29" t="n"/>
      <c r="E128" s="29" t="n"/>
      <c r="F128" s="29" t="n"/>
      <c r="G128" s="29" t="n"/>
      <c r="H128" s="29" t="n"/>
      <c r="I128" s="29" t="n"/>
      <c r="J128" s="29" t="n"/>
      <c r="K128" s="29" t="n"/>
      <c r="L128" s="29" t="n"/>
      <c r="M128" s="29" t="n"/>
      <c r="N128" s="29" t="n"/>
      <c r="O128" s="29" t="n"/>
      <c r="P128" s="29" t="n"/>
      <c r="Q128" s="29" t="n"/>
      <c r="R128" s="29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29" t="n"/>
      <c r="C129" s="29" t="n"/>
      <c r="D129" s="29" t="n"/>
      <c r="E129" s="29" t="n"/>
      <c r="F129" s="29" t="n"/>
      <c r="G129" s="29" t="n"/>
      <c r="H129" s="29" t="n"/>
      <c r="I129" s="29" t="n"/>
      <c r="J129" s="29" t="n"/>
      <c r="K129" s="29" t="n"/>
      <c r="L129" s="29" t="n"/>
      <c r="M129" s="29" t="n"/>
      <c r="N129" s="29" t="n"/>
      <c r="O129" s="29" t="n"/>
      <c r="P129" s="29" t="n"/>
      <c r="Q129" s="29" t="n"/>
      <c r="R129" s="29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29" t="n"/>
      <c r="C130" s="29" t="n"/>
      <c r="D130" s="29" t="n"/>
      <c r="E130" s="29" t="n"/>
      <c r="F130" s="29" t="n"/>
      <c r="G130" s="29" t="n"/>
      <c r="H130" s="29" t="n"/>
      <c r="I130" s="29" t="n"/>
      <c r="J130" s="29" t="n"/>
      <c r="K130" s="29" t="n"/>
      <c r="L130" s="29" t="n"/>
      <c r="M130" s="29" t="n"/>
      <c r="N130" s="29" t="n"/>
      <c r="O130" s="29" t="n"/>
      <c r="P130" s="29" t="n"/>
      <c r="Q130" s="29" t="n"/>
      <c r="R130" s="29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29" t="n"/>
      <c r="C131" s="29" t="n"/>
      <c r="D131" s="29" t="n"/>
      <c r="E131" s="29" t="n"/>
      <c r="F131" s="29" t="n"/>
      <c r="G131" s="29" t="n"/>
      <c r="H131" s="29" t="n"/>
      <c r="I131" s="29" t="n"/>
      <c r="J131" s="29" t="n"/>
      <c r="K131" s="29" t="n"/>
      <c r="L131" s="29" t="n"/>
      <c r="M131" s="29" t="n"/>
      <c r="N131" s="29" t="n"/>
      <c r="O131" s="29" t="n"/>
      <c r="P131" s="29" t="n"/>
      <c r="Q131" s="29" t="n"/>
      <c r="R131" s="29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29" t="n"/>
      <c r="C132" s="29" t="n"/>
      <c r="D132" s="29" t="n"/>
      <c r="E132" s="29" t="n"/>
      <c r="F132" s="29" t="n"/>
      <c r="G132" s="29" t="n"/>
      <c r="H132" s="29" t="n"/>
      <c r="I132" s="29" t="n"/>
      <c r="J132" s="29" t="n"/>
      <c r="K132" s="29" t="n"/>
      <c r="L132" s="29" t="n"/>
      <c r="M132" s="29" t="n"/>
      <c r="N132" s="29" t="n"/>
      <c r="O132" s="29" t="n"/>
      <c r="P132" s="29" t="n"/>
      <c r="Q132" s="29" t="n"/>
      <c r="R132" s="29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  <c r="L133" s="12" t="n"/>
      <c r="M133" s="12" t="n"/>
      <c r="N133" s="12" t="n"/>
      <c r="O133" s="12" t="n"/>
      <c r="P133" s="12" t="n"/>
      <c r="Q133" s="12" t="n"/>
      <c r="R133" s="1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  <c r="L134" s="12" t="n"/>
      <c r="M134" s="12" t="n"/>
      <c r="N134" s="12" t="n"/>
      <c r="O134" s="12" t="n"/>
      <c r="P134" s="12" t="n"/>
      <c r="Q134" s="12" t="n"/>
      <c r="R134" s="1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  <c r="L135" s="12" t="n"/>
      <c r="M135" s="12" t="n"/>
      <c r="N135" s="12" t="n"/>
      <c r="O135" s="12" t="n"/>
      <c r="P135" s="12" t="n"/>
      <c r="Q135" s="12" t="n"/>
      <c r="R135" s="1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  <c r="L136" s="12" t="n"/>
      <c r="M136" s="12" t="n"/>
      <c r="N136" s="12" t="n"/>
      <c r="O136" s="12" t="n"/>
      <c r="P136" s="12" t="n"/>
      <c r="Q136" s="12" t="n"/>
      <c r="R136" s="1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  <c r="L137" s="12" t="n"/>
      <c r="M137" s="12" t="n"/>
      <c r="N137" s="12" t="n"/>
      <c r="O137" s="12" t="n"/>
      <c r="P137" s="12" t="n"/>
      <c r="Q137" s="12" t="n"/>
      <c r="R137" s="1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  <c r="L138" s="12" t="n"/>
      <c r="M138" s="12" t="n"/>
      <c r="N138" s="12" t="n"/>
      <c r="O138" s="12" t="n"/>
      <c r="P138" s="12" t="n"/>
      <c r="Q138" s="12" t="n"/>
      <c r="R138" s="1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  <c r="L139" s="12" t="n"/>
      <c r="M139" s="12" t="n"/>
      <c r="N139" s="12" t="n"/>
      <c r="O139" s="12" t="n"/>
      <c r="P139" s="12" t="n"/>
      <c r="Q139" s="12" t="n"/>
      <c r="R139" s="1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  <c r="L140" s="12" t="n"/>
      <c r="M140" s="12" t="n"/>
      <c r="N140" s="12" t="n"/>
      <c r="O140" s="12" t="n"/>
      <c r="P140" s="12" t="n"/>
      <c r="Q140" s="12" t="n"/>
      <c r="R140" s="1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  <c r="L141" s="12" t="n"/>
      <c r="M141" s="12" t="n"/>
      <c r="N141" s="12" t="n"/>
      <c r="O141" s="12" t="n"/>
      <c r="P141" s="12" t="n"/>
      <c r="Q141" s="12" t="n"/>
      <c r="R141" s="1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  <c r="L142" s="12" t="n"/>
      <c r="M142" s="12" t="n"/>
      <c r="N142" s="12" t="n"/>
      <c r="O142" s="12" t="n"/>
      <c r="P142" s="12" t="n"/>
      <c r="Q142" s="12" t="n"/>
      <c r="R142" s="1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  <c r="L143" s="12" t="n"/>
      <c r="M143" s="12" t="n"/>
      <c r="N143" s="12" t="n"/>
      <c r="O143" s="12" t="n"/>
      <c r="P143" s="12" t="n"/>
      <c r="Q143" s="12" t="n"/>
      <c r="R143" s="1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  <c r="L144" s="12" t="n"/>
      <c r="M144" s="12" t="n"/>
      <c r="N144" s="12" t="n"/>
      <c r="O144" s="12" t="n"/>
      <c r="P144" s="12" t="n"/>
      <c r="Q144" s="12" t="n"/>
      <c r="R144" s="1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  <c r="L145" s="12" t="n"/>
      <c r="M145" s="12" t="n"/>
      <c r="N145" s="12" t="n"/>
      <c r="O145" s="12" t="n"/>
      <c r="P145" s="12" t="n"/>
      <c r="Q145" s="12" t="n"/>
      <c r="R145" s="1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  <c r="L146" s="12" t="n"/>
      <c r="M146" s="12" t="n"/>
      <c r="N146" s="12" t="n"/>
      <c r="O146" s="12" t="n"/>
      <c r="P146" s="12" t="n"/>
      <c r="Q146" s="12" t="n"/>
      <c r="R146" s="1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  <c r="L147" s="12" t="n"/>
      <c r="M147" s="12" t="n"/>
      <c r="N147" s="12" t="n"/>
      <c r="O147" s="12" t="n"/>
      <c r="P147" s="12" t="n"/>
      <c r="Q147" s="12" t="n"/>
      <c r="R147" s="1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  <c r="L148" s="12" t="n"/>
      <c r="M148" s="12" t="n"/>
      <c r="N148" s="12" t="n"/>
      <c r="O148" s="12" t="n"/>
      <c r="P148" s="12" t="n"/>
      <c r="Q148" s="12" t="n"/>
      <c r="R148" s="1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  <c r="L149" s="12" t="n"/>
      <c r="M149" s="12" t="n"/>
      <c r="N149" s="12" t="n"/>
      <c r="O149" s="12" t="n"/>
      <c r="P149" s="12" t="n"/>
      <c r="Q149" s="12" t="n"/>
      <c r="R149" s="1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  <c r="L150" s="12" t="n"/>
      <c r="M150" s="12" t="n"/>
      <c r="N150" s="12" t="n"/>
      <c r="O150" s="12" t="n"/>
      <c r="P150" s="12" t="n"/>
      <c r="Q150" s="12" t="n"/>
      <c r="R150" s="1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  <c r="L151" s="12" t="n"/>
      <c r="M151" s="12" t="n"/>
      <c r="N151" s="12" t="n"/>
      <c r="O151" s="12" t="n"/>
      <c r="P151" s="12" t="n"/>
      <c r="Q151" s="12" t="n"/>
      <c r="R151" s="1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  <c r="L152" s="12" t="n"/>
      <c r="M152" s="12" t="n"/>
      <c r="N152" s="12" t="n"/>
      <c r="O152" s="12" t="n"/>
      <c r="P152" s="12" t="n"/>
      <c r="Q152" s="12" t="n"/>
      <c r="R152" s="1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</sheetData>
  <autoFilter ref="$B$13:$C$14"/>
  <mergeCells count="38">
    <mergeCell ref="B28:Q28"/>
    <mergeCell ref="D10:E10"/>
    <mergeCell ref="F10:G10"/>
    <mergeCell ref="H10:I10"/>
    <mergeCell ref="J14:K14"/>
    <mergeCell ref="G29:J29"/>
    <mergeCell ref="J13:K13"/>
    <mergeCell ref="H9:I9"/>
    <mergeCell ref="B12:C12"/>
    <mergeCell ref="A3:R3"/>
    <mergeCell ref="F12:G12"/>
    <mergeCell ref="K29:R29"/>
    <mergeCell ref="A2:R2"/>
    <mergeCell ref="D13:E13"/>
    <mergeCell ref="B14:C14"/>
    <mergeCell ref="H14:I14"/>
    <mergeCell ref="B62:Q62"/>
    <mergeCell ref="B8:C8"/>
    <mergeCell ref="A4:R4"/>
    <mergeCell ref="F8:G8"/>
    <mergeCell ref="B13:C13"/>
    <mergeCell ref="B29:F29"/>
    <mergeCell ref="B10:C10"/>
    <mergeCell ref="F13:G13"/>
    <mergeCell ref="B9:C9"/>
    <mergeCell ref="D9:E9"/>
    <mergeCell ref="H13:I13"/>
    <mergeCell ref="F9:G9"/>
    <mergeCell ref="D12:E12"/>
    <mergeCell ref="D8:E8"/>
    <mergeCell ref="B6:C6"/>
    <mergeCell ref="H12:I12"/>
    <mergeCell ref="H8:I8"/>
    <mergeCell ref="J12:K12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89" t="inlineStr">
        <is>
          <t>December 2025</t>
        </is>
      </c>
      <c r="B2" s="189" t="inlineStr">
        <is>
          <t>Team Refresher</t>
        </is>
      </c>
      <c r="C2" s="189" t="inlineStr">
        <is>
          <t>ACOP (Online Team)</t>
        </is>
      </c>
      <c r="D2" s="189" t="inlineStr">
        <is>
          <t>10-Dec</t>
        </is>
      </c>
      <c r="E2" s="189" t="inlineStr">
        <is>
          <t>23-Dec</t>
        </is>
      </c>
      <c r="F2" s="189" t="inlineStr">
        <is>
          <t>Raju Vernekar</t>
        </is>
      </c>
      <c r="G2" s="189" t="inlineStr">
        <is>
          <t>Online</t>
        </is>
      </c>
      <c r="H2" s="189" t="inlineStr">
        <is>
          <t>Kite mobile/web &amp; order types</t>
        </is>
      </c>
      <c r="I2" s="190" t="n">
        <v>16</v>
      </c>
    </row>
    <row r="3" ht="15" customHeight="1" s="156">
      <c r="A3" s="189" t="inlineStr">
        <is>
          <t>December 2025</t>
        </is>
      </c>
      <c r="B3" s="189" t="inlineStr">
        <is>
          <t>ACOP Team Refresher</t>
        </is>
      </c>
      <c r="C3" s="189" t="inlineStr">
        <is>
          <t>ACOP (Online Team)</t>
        </is>
      </c>
      <c r="D3" s="189" t="inlineStr">
        <is>
          <t>10-Dec</t>
        </is>
      </c>
      <c r="E3" s="189" t="inlineStr">
        <is>
          <t>19-Dec</t>
        </is>
      </c>
      <c r="F3" s="189" t="inlineStr">
        <is>
          <t>Gaurav Kumar</t>
        </is>
      </c>
      <c r="G3" s="189" t="inlineStr">
        <is>
          <t>Online</t>
        </is>
      </c>
      <c r="H3" s="189" t="inlineStr">
        <is>
          <t>Kite mobile/web &amp; order types</t>
        </is>
      </c>
      <c r="I3" s="190" t="n">
        <v>16</v>
      </c>
    </row>
    <row r="4" ht="15" customHeight="1" s="156">
      <c r="A4" s="191" t="inlineStr">
        <is>
          <t>December 2025</t>
        </is>
      </c>
      <c r="B4" s="191" t="inlineStr">
        <is>
          <t>Project Maven</t>
        </is>
      </c>
      <c r="C4" s="191" t="inlineStr">
        <is>
          <t>MCP (Project Maven)</t>
        </is>
      </c>
      <c r="D4" s="191" t="inlineStr">
        <is>
          <t>8-Dec</t>
        </is>
      </c>
      <c r="E4" s="191" t="inlineStr">
        <is>
          <t>On going</t>
        </is>
      </c>
      <c r="F4" s="191" t="inlineStr">
        <is>
          <t>Raju Vernekar</t>
        </is>
      </c>
      <c r="G4" s="191" t="inlineStr">
        <is>
          <t>Offline</t>
        </is>
      </c>
      <c r="H4" s="191" t="inlineStr">
        <is>
          <t>Project Maven for Support (MCP)</t>
        </is>
      </c>
      <c r="I4" s="192" t="n">
        <v>52</v>
      </c>
    </row>
    <row r="5" ht="15" customHeight="1" s="156">
      <c r="A5" s="191" t="inlineStr">
        <is>
          <t>December 2025</t>
        </is>
      </c>
      <c r="B5" s="191" t="inlineStr">
        <is>
          <t>Project Maven</t>
        </is>
      </c>
      <c r="C5" s="191" t="inlineStr">
        <is>
          <t>MCP (Project Maven)</t>
        </is>
      </c>
      <c r="D5" s="191" t="inlineStr">
        <is>
          <t>8-Dec</t>
        </is>
      </c>
      <c r="E5" s="191" t="inlineStr">
        <is>
          <t>On going</t>
        </is>
      </c>
      <c r="F5" s="191" t="inlineStr">
        <is>
          <t>Gaurav Kumar</t>
        </is>
      </c>
      <c r="G5" s="191" t="inlineStr">
        <is>
          <t>Offline</t>
        </is>
      </c>
      <c r="H5" s="191" t="inlineStr">
        <is>
          <t>Project Maven for Support (MCP)</t>
        </is>
      </c>
      <c r="I5" s="192" t="n">
        <v>45</v>
      </c>
    </row>
    <row r="6" ht="15" customHeight="1" s="156">
      <c r="A6" s="189" t="inlineStr">
        <is>
          <t>December 2025</t>
        </is>
      </c>
      <c r="B6" s="189" t="inlineStr">
        <is>
          <t>Webinar</t>
        </is>
      </c>
      <c r="C6" s="189" t="inlineStr">
        <is>
          <t>Support Team</t>
        </is>
      </c>
      <c r="D6" s="189" t="inlineStr">
        <is>
          <t>19-Dec</t>
        </is>
      </c>
      <c r="E6" s="189" t="inlineStr">
        <is>
          <t>19-Dec</t>
        </is>
      </c>
      <c r="F6" s="189" t="inlineStr">
        <is>
          <t>Gaurav Kumar / Raju Vernekar</t>
        </is>
      </c>
      <c r="G6" s="189" t="inlineStr">
        <is>
          <t>Online</t>
        </is>
      </c>
      <c r="H6" s="189" t="inlineStr">
        <is>
          <t>Delta Violation</t>
        </is>
      </c>
      <c r="I6" s="190" t="n">
        <v>3</v>
      </c>
    </row>
    <row r="7" ht="15" customHeight="1" s="156">
      <c r="A7" s="189" t="inlineStr">
        <is>
          <t>December 2025</t>
        </is>
      </c>
      <c r="B7" s="189" t="inlineStr">
        <is>
          <t>Session</t>
        </is>
      </c>
      <c r="C7" s="189" t="inlineStr">
        <is>
          <t>Support Manager &amp; AVPs</t>
        </is>
      </c>
      <c r="D7" s="189" t="inlineStr">
        <is>
          <t>11-Dec</t>
        </is>
      </c>
      <c r="E7" s="189" t="inlineStr">
        <is>
          <t>11-Dec</t>
        </is>
      </c>
      <c r="F7" s="189" t="inlineStr">
        <is>
          <t>Gaurav Kumar</t>
        </is>
      </c>
      <c r="G7" s="189" t="inlineStr">
        <is>
          <t>Online</t>
        </is>
      </c>
      <c r="H7" s="189" t="inlineStr">
        <is>
          <t>Delta Violation</t>
        </is>
      </c>
      <c r="I7" s="190" t="n">
        <v>3</v>
      </c>
    </row>
    <row r="8" ht="15" customHeight="1" s="156">
      <c r="A8" s="189" t="inlineStr">
        <is>
          <t>January 2026</t>
        </is>
      </c>
      <c r="B8" s="189" t="inlineStr">
        <is>
          <t>Refresher</t>
        </is>
      </c>
      <c r="C8" s="189" t="inlineStr">
        <is>
          <t>Sherin's Team</t>
        </is>
      </c>
      <c r="D8" s="189" t="inlineStr">
        <is>
          <t>13-Jan</t>
        </is>
      </c>
      <c r="E8" s="189" t="inlineStr">
        <is>
          <t>13-Jan</t>
        </is>
      </c>
      <c r="F8" s="189" t="inlineStr">
        <is>
          <t>Raju Vernekar</t>
        </is>
      </c>
      <c r="G8" s="189" t="inlineStr">
        <is>
          <t>Online</t>
        </is>
      </c>
      <c r="H8" s="189" t="inlineStr">
        <is>
          <t>Basics of support</t>
        </is>
      </c>
      <c r="I8" s="190" t="n">
        <v>4</v>
      </c>
    </row>
    <row r="9" ht="15" customHeight="1" s="156">
      <c r="A9" s="191" t="inlineStr">
        <is>
          <t>January 2026</t>
        </is>
      </c>
      <c r="B9" s="191" t="inlineStr">
        <is>
          <t>Project Maven</t>
        </is>
      </c>
      <c r="C9" s="191" t="inlineStr">
        <is>
          <t>MCP (Project Maven)</t>
        </is>
      </c>
      <c r="D9" s="191" t="inlineStr">
        <is>
          <t>1-Jan</t>
        </is>
      </c>
      <c r="E9" s="191" t="inlineStr">
        <is>
          <t>On going</t>
        </is>
      </c>
      <c r="F9" s="191" t="inlineStr">
        <is>
          <t>Raju Vernekar</t>
        </is>
      </c>
      <c r="G9" s="191" t="inlineStr">
        <is>
          <t>Offline</t>
        </is>
      </c>
      <c r="H9" s="191" t="inlineStr">
        <is>
          <t>Project Maven</t>
        </is>
      </c>
      <c r="I9" s="192" t="n">
        <v>156</v>
      </c>
    </row>
    <row r="10" ht="15" customHeight="1" s="156">
      <c r="A10" s="189" t="inlineStr">
        <is>
          <t>January 2026</t>
        </is>
      </c>
      <c r="B10" s="189" t="inlineStr">
        <is>
          <t>Assessments</t>
        </is>
      </c>
      <c r="C10" s="189" t="inlineStr">
        <is>
          <t>Communication Assessment Tool</t>
        </is>
      </c>
      <c r="D10" s="189" t="inlineStr">
        <is>
          <t>22-Jan</t>
        </is>
      </c>
      <c r="E10" s="189" t="inlineStr">
        <is>
          <t>22-Jan</t>
        </is>
      </c>
      <c r="F10" s="189" t="inlineStr">
        <is>
          <t>Raju Vernekar</t>
        </is>
      </c>
      <c r="G10" s="189" t="inlineStr">
        <is>
          <t>Online</t>
        </is>
      </c>
      <c r="H10" s="189" t="inlineStr">
        <is>
          <t>Communication Assessment</t>
        </is>
      </c>
      <c r="I10" s="190" t="n">
        <v>1</v>
      </c>
    </row>
    <row r="11" ht="15" customHeight="1" s="156">
      <c r="A11" s="189" t="inlineStr">
        <is>
          <t>January 2026</t>
        </is>
      </c>
      <c r="B11" s="189" t="inlineStr">
        <is>
          <t>Refresher</t>
        </is>
      </c>
      <c r="C11" s="189" t="inlineStr">
        <is>
          <t>Sherin's Team</t>
        </is>
      </c>
      <c r="D11" s="189" t="inlineStr">
        <is>
          <t>12-Jan</t>
        </is>
      </c>
      <c r="E11" s="189" t="inlineStr">
        <is>
          <t>20-Jan</t>
        </is>
      </c>
      <c r="F11" s="189" t="inlineStr">
        <is>
          <t>Gaurav Kumar</t>
        </is>
      </c>
      <c r="G11" s="189" t="inlineStr">
        <is>
          <t>Online</t>
        </is>
      </c>
      <c r="H11" s="189" t="inlineStr">
        <is>
          <t>MTF, Hedge, Basket, Corp actions, MF</t>
        </is>
      </c>
      <c r="I11" s="190" t="n">
        <v>15</v>
      </c>
    </row>
    <row r="12" ht="15" customHeight="1" s="156">
      <c r="A12" s="191" t="inlineStr">
        <is>
          <t>January 2026</t>
        </is>
      </c>
      <c r="B12" s="191" t="inlineStr">
        <is>
          <t>Project Maven</t>
        </is>
      </c>
      <c r="C12" s="191" t="inlineStr">
        <is>
          <t>MCP (Project Maven)</t>
        </is>
      </c>
      <c r="D12" s="191" t="inlineStr">
        <is>
          <t>1-Jan</t>
        </is>
      </c>
      <c r="E12" s="191" t="inlineStr">
        <is>
          <t>On going</t>
        </is>
      </c>
      <c r="F12" s="191" t="inlineStr">
        <is>
          <t>Gaurav Kumar</t>
        </is>
      </c>
      <c r="G12" s="191" t="inlineStr">
        <is>
          <t>Offline</t>
        </is>
      </c>
      <c r="H12" s="191" t="inlineStr">
        <is>
          <t>Project Maven</t>
        </is>
      </c>
      <c r="I12" s="192" t="n">
        <v>140</v>
      </c>
    </row>
    <row r="13" ht="15" customHeight="1" s="156">
      <c r="A13" s="189" t="inlineStr">
        <is>
          <t>January 2026</t>
        </is>
      </c>
      <c r="B13" s="189" t="inlineStr">
        <is>
          <t>Refresher for Entire Support</t>
        </is>
      </c>
      <c r="C13" s="189" t="inlineStr">
        <is>
          <t>Support Team</t>
        </is>
      </c>
      <c r="D13" s="189" t="inlineStr">
        <is>
          <t>28-Jan</t>
        </is>
      </c>
      <c r="E13" s="189" t="inlineStr">
        <is>
          <t>On going</t>
        </is>
      </c>
      <c r="F13" s="189" t="inlineStr">
        <is>
          <t>Gaurav Kumar</t>
        </is>
      </c>
      <c r="G13" s="189" t="inlineStr">
        <is>
          <t>Online</t>
        </is>
      </c>
      <c r="H13" s="189" t="inlineStr">
        <is>
          <t>Tijori Integration with Kite &amp; Console</t>
        </is>
      </c>
      <c r="I13" s="190" t="n">
        <v>65</v>
      </c>
    </row>
    <row r="14" ht="15" customHeight="1" s="156">
      <c r="A14" s="189" t="inlineStr">
        <is>
          <t>January 2026</t>
        </is>
      </c>
      <c r="B14" s="189" t="inlineStr">
        <is>
          <t>Refresher for Evening Support</t>
        </is>
      </c>
      <c r="C14" s="189" t="inlineStr">
        <is>
          <t>MCX Team</t>
        </is>
      </c>
      <c r="D14" s="189" t="inlineStr">
        <is>
          <t>29-Jan</t>
        </is>
      </c>
      <c r="E14" s="189" t="inlineStr">
        <is>
          <t>On going</t>
        </is>
      </c>
      <c r="F14" s="189" t="inlineStr">
        <is>
          <t>Gaurav Kumar</t>
        </is>
      </c>
      <c r="G14" s="189" t="inlineStr">
        <is>
          <t>Online</t>
        </is>
      </c>
      <c r="H14" s="189" t="inlineStr">
        <is>
          <t>Tijori and MCX Devolvement</t>
        </is>
      </c>
      <c r="I14" s="190" t="n">
        <v>11</v>
      </c>
    </row>
    <row r="15" ht="15" customHeight="1" s="156">
      <c r="A15" s="189" t="inlineStr">
        <is>
          <t>January 2026</t>
        </is>
      </c>
      <c r="B15" s="189" t="inlineStr">
        <is>
          <t>Content Team Session</t>
        </is>
      </c>
      <c r="C15" s="189" t="inlineStr">
        <is>
          <t>Stock tips</t>
        </is>
      </c>
      <c r="D15" s="189" t="inlineStr">
        <is>
          <t>28-Jan</t>
        </is>
      </c>
      <c r="E15" s="189" t="inlineStr">
        <is>
          <t>28-Jan</t>
        </is>
      </c>
      <c r="F15" s="189" t="inlineStr">
        <is>
          <t>Gaurav Kumar</t>
        </is>
      </c>
      <c r="G15" s="189" t="inlineStr">
        <is>
          <t>Online</t>
        </is>
      </c>
      <c r="H15" s="189" t="inlineStr">
        <is>
          <t>Session for Stock tips</t>
        </is>
      </c>
      <c r="I15" s="190" t="n">
        <v>1.5</v>
      </c>
    </row>
    <row r="16" ht="15" customHeight="1" s="156">
      <c r="A16" s="189" t="inlineStr">
        <is>
          <t>January 2026</t>
        </is>
      </c>
      <c r="B16" s="189" t="inlineStr">
        <is>
          <t>Support Team OJT</t>
        </is>
      </c>
      <c r="C16" s="189" t="inlineStr">
        <is>
          <t>OJT for SM (Support)</t>
        </is>
      </c>
      <c r="D16" s="189" t="inlineStr">
        <is>
          <t>27-Dec</t>
        </is>
      </c>
      <c r="E16" s="189" t="inlineStr">
        <is>
          <t>31-Jan</t>
        </is>
      </c>
      <c r="F16" s="189" t="inlineStr">
        <is>
          <t>Gaurav Kumar / Raju Vernekar</t>
        </is>
      </c>
      <c r="G16" s="189" t="inlineStr">
        <is>
          <t>Online</t>
        </is>
      </c>
      <c r="H16" s="189" t="inlineStr">
        <is>
          <t>Support On Job Training</t>
        </is>
      </c>
      <c r="I16" s="190" t="n">
        <v>50</v>
      </c>
    </row>
    <row r="17" ht="15" customHeight="1" s="156">
      <c r="A17" s="189" t="inlineStr">
        <is>
          <t>January 2026</t>
        </is>
      </c>
      <c r="B17" s="189" t="inlineStr">
        <is>
          <t>Assessment</t>
        </is>
      </c>
      <c r="C17" s="189" t="inlineStr">
        <is>
          <t>Sherin's Team</t>
        </is>
      </c>
      <c r="D17" s="189" t="inlineStr">
        <is>
          <t>23-Jan</t>
        </is>
      </c>
      <c r="E17" s="189" t="inlineStr">
        <is>
          <t>23-Jan</t>
        </is>
      </c>
      <c r="F17" s="189" t="inlineStr">
        <is>
          <t>Gaurav Kumar</t>
        </is>
      </c>
      <c r="G17" s="189" t="inlineStr">
        <is>
          <t>Online</t>
        </is>
      </c>
      <c r="H17" s="189" t="inlineStr">
        <is>
          <t>MTF, Hedge, Basket, Corp actions, MF</t>
        </is>
      </c>
      <c r="I17" s="190" t="n">
        <v>1.5</v>
      </c>
    </row>
    <row r="18" ht="15" customHeight="1" s="156">
      <c r="A18" s="191" t="inlineStr">
        <is>
          <t>February 2026</t>
        </is>
      </c>
      <c r="B18" s="191" t="inlineStr">
        <is>
          <t>Project Maven</t>
        </is>
      </c>
      <c r="C18" s="191" t="inlineStr">
        <is>
          <t>Project Maven</t>
        </is>
      </c>
      <c r="D18" s="191" t="inlineStr">
        <is>
          <t>1-Feb</t>
        </is>
      </c>
      <c r="E18" s="191" t="inlineStr">
        <is>
          <t>On going</t>
        </is>
      </c>
      <c r="F18" s="191" t="inlineStr">
        <is>
          <t>Raju Vernekar</t>
        </is>
      </c>
      <c r="G18" s="191" t="inlineStr">
        <is>
          <t>Offline</t>
        </is>
      </c>
      <c r="H18" s="191" t="inlineStr">
        <is>
          <t>Project Maven</t>
        </is>
      </c>
      <c r="I18" s="192" t="n">
        <v>104</v>
      </c>
    </row>
    <row r="19" ht="15" customHeight="1" s="156">
      <c r="A19" s="191" t="inlineStr">
        <is>
          <t>February 2026</t>
        </is>
      </c>
      <c r="B19" s="191" t="inlineStr">
        <is>
          <t>Project Maven</t>
        </is>
      </c>
      <c r="C19" s="191" t="inlineStr">
        <is>
          <t>Project Maven</t>
        </is>
      </c>
      <c r="D19" s="191" t="inlineStr">
        <is>
          <t>1-Feb</t>
        </is>
      </c>
      <c r="E19" s="191" t="inlineStr">
        <is>
          <t>On going</t>
        </is>
      </c>
      <c r="F19" s="191" t="inlineStr">
        <is>
          <t>Gaurav Kumar</t>
        </is>
      </c>
      <c r="G19" s="191" t="inlineStr">
        <is>
          <t>Offline</t>
        </is>
      </c>
      <c r="H19" s="191" t="inlineStr">
        <is>
          <t>Project Maven</t>
        </is>
      </c>
      <c r="I19" s="192" t="n">
        <v>102</v>
      </c>
    </row>
    <row r="20" ht="15" customHeight="1" s="156">
      <c r="A20" s="189" t="inlineStr">
        <is>
          <t>February 2026</t>
        </is>
      </c>
      <c r="B20" s="189" t="inlineStr">
        <is>
          <t>Refresher for Entire Support</t>
        </is>
      </c>
      <c r="C20" s="189" t="inlineStr">
        <is>
          <t>Customer Support</t>
        </is>
      </c>
      <c r="D20" s="189" t="inlineStr">
        <is>
          <t>27-Jan</t>
        </is>
      </c>
      <c r="E20" s="189" t="inlineStr">
        <is>
          <t>On going</t>
        </is>
      </c>
      <c r="F20" s="189" t="inlineStr">
        <is>
          <t>Gaurav Kumar</t>
        </is>
      </c>
      <c r="G20" s="189" t="inlineStr">
        <is>
          <t>Online</t>
        </is>
      </c>
      <c r="H20" s="189" t="inlineStr">
        <is>
          <t>Tijori, MCX Devolvement, SLB</t>
        </is>
      </c>
      <c r="I20" s="190" t="n">
        <v>36</v>
      </c>
    </row>
    <row r="21" ht="15.75" customHeight="1" s="156">
      <c r="A21" s="189" t="inlineStr">
        <is>
          <t>February 2026</t>
        </is>
      </c>
      <c r="B21" s="189" t="inlineStr">
        <is>
          <t>Refresher for Support</t>
        </is>
      </c>
      <c r="C21" s="189" t="inlineStr">
        <is>
          <t>Customer Support</t>
        </is>
      </c>
      <c r="D21" s="189" t="inlineStr">
        <is>
          <t>11-Feb</t>
        </is>
      </c>
      <c r="E21" s="189" t="inlineStr">
        <is>
          <t>Completed</t>
        </is>
      </c>
      <c r="F21" s="189" t="inlineStr">
        <is>
          <t>Raju Vernekar</t>
        </is>
      </c>
      <c r="G21" s="189" t="inlineStr">
        <is>
          <t>Online</t>
        </is>
      </c>
      <c r="H21" s="189" t="inlineStr">
        <is>
          <t>MCX Devolvement</t>
        </is>
      </c>
      <c r="I21" s="190" t="n">
        <v>8</v>
      </c>
    </row>
    <row r="22" ht="15.75" customHeight="1" s="156">
      <c r="A22" s="191" t="inlineStr">
        <is>
          <t>March 2026</t>
        </is>
      </c>
      <c r="B22" s="191" t="inlineStr">
        <is>
          <t>Assessment</t>
        </is>
      </c>
      <c r="C22" s="191" t="inlineStr">
        <is>
          <t>Assessment - Communicate 360</t>
        </is>
      </c>
      <c r="D22" s="191" t="inlineStr">
        <is>
          <t>1-Mar</t>
        </is>
      </c>
      <c r="E22" s="191" t="inlineStr">
        <is>
          <t>On going</t>
        </is>
      </c>
      <c r="F22" s="191" t="inlineStr">
        <is>
          <t>Freeda Reshma Dsouza</t>
        </is>
      </c>
      <c r="G22" s="191" t="inlineStr">
        <is>
          <t>Offline</t>
        </is>
      </c>
      <c r="H22" s="191" t="inlineStr">
        <is>
          <t>Assessment - Communicate 360</t>
        </is>
      </c>
      <c r="I22" s="192" t="n">
        <v>6</v>
      </c>
    </row>
    <row r="23" ht="15.75" customHeight="1" s="156">
      <c r="A23" s="191" t="inlineStr">
        <is>
          <t>March 2026</t>
        </is>
      </c>
      <c r="B23" s="191" t="inlineStr">
        <is>
          <t>Assessment</t>
        </is>
      </c>
      <c r="C23" s="191" t="inlineStr">
        <is>
          <t>Assessment tool - LMS</t>
        </is>
      </c>
      <c r="D23" s="191" t="inlineStr">
        <is>
          <t>1-Mar</t>
        </is>
      </c>
      <c r="E23" s="191" t="inlineStr">
        <is>
          <t>12-Mar</t>
        </is>
      </c>
      <c r="F23" s="191" t="inlineStr">
        <is>
          <t>Raju Vernekar / Girish A / Harish Bhat</t>
        </is>
      </c>
      <c r="G23" s="191" t="inlineStr">
        <is>
          <t>Offline</t>
        </is>
      </c>
      <c r="H23" s="191" t="inlineStr">
        <is>
          <t>Assessment tool - LMS</t>
        </is>
      </c>
      <c r="I23" s="192" t="n">
        <v>2</v>
      </c>
    </row>
    <row r="24" ht="15.75" customHeight="1" s="156">
      <c r="A24" s="191" t="inlineStr">
        <is>
          <t>March 2026</t>
        </is>
      </c>
      <c r="B24" s="191" t="inlineStr">
        <is>
          <t>Support Training</t>
        </is>
      </c>
      <c r="C24" s="191" t="inlineStr">
        <is>
          <t>Tool building - C360</t>
        </is>
      </c>
      <c r="D24" s="191" t="inlineStr">
        <is>
          <t>12-Mar</t>
        </is>
      </c>
      <c r="E24" s="191" t="inlineStr">
        <is>
          <t>12-Mar</t>
        </is>
      </c>
      <c r="F24" s="191" t="inlineStr">
        <is>
          <t>Raju Vernekar / Girish A / Harish Bhat</t>
        </is>
      </c>
      <c r="G24" s="191" t="inlineStr">
        <is>
          <t>Offline</t>
        </is>
      </c>
      <c r="H24" s="191" t="inlineStr">
        <is>
          <t>Tool building - C360</t>
        </is>
      </c>
      <c r="I24" s="192" t="n">
        <v>5</v>
      </c>
    </row>
    <row r="25" ht="15.75" customHeight="1" s="156">
      <c r="A25" s="191" t="inlineStr">
        <is>
          <t>March 2026</t>
        </is>
      </c>
      <c r="B25" s="191" t="inlineStr">
        <is>
          <t>Support Training</t>
        </is>
      </c>
      <c r="C25" s="191" t="inlineStr">
        <is>
          <t>Batch 1 - C360 Training</t>
        </is>
      </c>
      <c r="D25" s="191" t="inlineStr">
        <is>
          <t>12-Mar</t>
        </is>
      </c>
      <c r="E25" s="191" t="inlineStr">
        <is>
          <t>On going</t>
        </is>
      </c>
      <c r="F25" s="191" t="inlineStr">
        <is>
          <t>Freeda Reshma Dsouza</t>
        </is>
      </c>
      <c r="G25" s="191" t="inlineStr">
        <is>
          <t>Offline</t>
        </is>
      </c>
      <c r="H25" s="191" t="inlineStr">
        <is>
          <t>Batch 1 - C360 Training</t>
        </is>
      </c>
      <c r="I25" s="192" t="n">
        <v>8</v>
      </c>
    </row>
    <row r="26" ht="15.75" customHeight="1" s="156">
      <c r="A26" s="191" t="inlineStr">
        <is>
          <t>March 2026</t>
        </is>
      </c>
      <c r="B26" s="191" t="inlineStr">
        <is>
          <t>Assessment</t>
        </is>
      </c>
      <c r="C26" s="191" t="inlineStr">
        <is>
          <t>Correction of Assessment - C360</t>
        </is>
      </c>
      <c r="D26" s="191" t="inlineStr">
        <is>
          <t>12-Mar</t>
        </is>
      </c>
      <c r="E26" s="191" t="inlineStr">
        <is>
          <t>On going</t>
        </is>
      </c>
      <c r="F26" s="191" t="inlineStr">
        <is>
          <t>Freeda Reshma Dsouza</t>
        </is>
      </c>
      <c r="G26" s="191" t="inlineStr">
        <is>
          <t>Offline</t>
        </is>
      </c>
      <c r="H26" s="191" t="inlineStr">
        <is>
          <t>Correction of Assessment - C360</t>
        </is>
      </c>
      <c r="I26" s="192" t="n">
        <v>5</v>
      </c>
    </row>
    <row r="27" ht="15.75" customHeight="1" s="156">
      <c r="A27" s="191" t="inlineStr">
        <is>
          <t>March 2026</t>
        </is>
      </c>
      <c r="B27" s="191" t="inlineStr">
        <is>
          <t>Support Training</t>
        </is>
      </c>
      <c r="C27" s="191" t="inlineStr">
        <is>
          <t>Report Generation - C360</t>
        </is>
      </c>
      <c r="D27" s="191" t="inlineStr">
        <is>
          <t>12-Mar</t>
        </is>
      </c>
      <c r="E27" s="191" t="inlineStr">
        <is>
          <t>12-Mar</t>
        </is>
      </c>
      <c r="F27" s="191" t="inlineStr">
        <is>
          <t>Raju Vernekar / Girish A / Harish Bhat</t>
        </is>
      </c>
      <c r="G27" s="191" t="inlineStr">
        <is>
          <t>Offline</t>
        </is>
      </c>
      <c r="H27" s="191" t="inlineStr">
        <is>
          <t>Report Generation - C360</t>
        </is>
      </c>
      <c r="I27" s="192" t="n">
        <v>10</v>
      </c>
    </row>
    <row r="28" ht="15.75" customHeight="1" s="156">
      <c r="A28" s="191" t="inlineStr">
        <is>
          <t>March 2026</t>
        </is>
      </c>
      <c r="B28" s="191" t="inlineStr">
        <is>
          <t>Project Maven</t>
        </is>
      </c>
      <c r="C28" s="191" t="inlineStr">
        <is>
          <t>Project Maven</t>
        </is>
      </c>
      <c r="D28" s="191" t="inlineStr">
        <is>
          <t>1-Mar</t>
        </is>
      </c>
      <c r="E28" s="191" t="inlineStr">
        <is>
          <t>On going</t>
        </is>
      </c>
      <c r="F28" s="191" t="inlineStr">
        <is>
          <t>Raju Vernekar</t>
        </is>
      </c>
      <c r="G28" s="191" t="inlineStr">
        <is>
          <t>Offline</t>
        </is>
      </c>
      <c r="H28" s="191" t="inlineStr">
        <is>
          <t>Project Maven</t>
        </is>
      </c>
      <c r="I28" s="192" t="n">
        <v>104</v>
      </c>
    </row>
    <row r="29" ht="15.75" customHeight="1" s="156">
      <c r="A29" s="191" t="inlineStr">
        <is>
          <t>March 2026</t>
        </is>
      </c>
      <c r="B29" s="191" t="inlineStr">
        <is>
          <t>Project Maven</t>
        </is>
      </c>
      <c r="C29" s="191" t="inlineStr">
        <is>
          <t>Project Maven</t>
        </is>
      </c>
      <c r="D29" s="191" t="inlineStr">
        <is>
          <t>1-Mar</t>
        </is>
      </c>
      <c r="E29" s="191" t="inlineStr">
        <is>
          <t>On going</t>
        </is>
      </c>
      <c r="F29" s="191" t="inlineStr">
        <is>
          <t>Gaurav Kumar</t>
        </is>
      </c>
      <c r="G29" s="191" t="inlineStr">
        <is>
          <t>Offline</t>
        </is>
      </c>
      <c r="H29" s="191" t="inlineStr">
        <is>
          <t>Project Maven</t>
        </is>
      </c>
      <c r="I29" s="192" t="n">
        <v>102</v>
      </c>
    </row>
    <row r="30" ht="15.75" customHeight="1" s="156">
      <c r="A30" s="189" t="inlineStr">
        <is>
          <t>March 2026</t>
        </is>
      </c>
      <c r="B30" s="189" t="inlineStr">
        <is>
          <t>Varsity Team Session</t>
        </is>
      </c>
      <c r="C30" s="189" t="inlineStr">
        <is>
          <t>Stock tips</t>
        </is>
      </c>
      <c r="D30" s="189" t="inlineStr">
        <is>
          <t>27-Mar</t>
        </is>
      </c>
      <c r="E30" s="189" t="inlineStr">
        <is>
          <t>27-Mar</t>
        </is>
      </c>
      <c r="F30" s="189" t="inlineStr">
        <is>
          <t>Gaurav Kumar</t>
        </is>
      </c>
      <c r="G30" s="189" t="inlineStr">
        <is>
          <t>Online</t>
        </is>
      </c>
      <c r="H30" s="189" t="inlineStr">
        <is>
          <t>New hire training</t>
        </is>
      </c>
      <c r="I30" s="190" t="n">
        <v>1.5</v>
      </c>
    </row>
    <row r="31" ht="15.75" customHeight="1" s="156">
      <c r="A31" s="191" t="inlineStr">
        <is>
          <t>April 2026</t>
        </is>
      </c>
      <c r="B31" s="191" t="inlineStr">
        <is>
          <t>Support Training</t>
        </is>
      </c>
      <c r="C31" s="191" t="inlineStr">
        <is>
          <t>Batch 2 - C360 Training</t>
        </is>
      </c>
      <c r="D31" s="191" t="inlineStr">
        <is>
          <t>7-Apr</t>
        </is>
      </c>
      <c r="E31" s="191" t="inlineStr">
        <is>
          <t>10-Apr</t>
        </is>
      </c>
      <c r="F31" s="191" t="inlineStr">
        <is>
          <t>Freeda Reshma Dsouza</t>
        </is>
      </c>
      <c r="G31" s="191" t="inlineStr">
        <is>
          <t>Offline</t>
        </is>
      </c>
      <c r="H31" s="191" t="inlineStr">
        <is>
          <t>Assessment - Communicate 360</t>
        </is>
      </c>
      <c r="I31" s="192" t="n">
        <v>20</v>
      </c>
    </row>
    <row r="32" ht="15.75" customHeight="1" s="156">
      <c r="A32" s="191" t="inlineStr">
        <is>
          <t>April 2026</t>
        </is>
      </c>
      <c r="B32" s="191" t="inlineStr">
        <is>
          <t>Support Training</t>
        </is>
      </c>
      <c r="C32" s="191" t="inlineStr">
        <is>
          <t>Batch 3 - C360 Training</t>
        </is>
      </c>
      <c r="D32" s="191" t="inlineStr">
        <is>
          <t>21-Apr</t>
        </is>
      </c>
      <c r="E32" s="191" t="inlineStr">
        <is>
          <t>24-Apr</t>
        </is>
      </c>
      <c r="F32" s="191" t="inlineStr">
        <is>
          <t>Freeda Reshma Dsouza</t>
        </is>
      </c>
      <c r="G32" s="191" t="inlineStr">
        <is>
          <t>Offline</t>
        </is>
      </c>
      <c r="H32" s="191" t="inlineStr">
        <is>
          <t>Assessment - Communicate 360</t>
        </is>
      </c>
      <c r="I32" s="192" t="n">
        <v>20</v>
      </c>
    </row>
    <row r="33" ht="15.75" customHeight="1" s="156">
      <c r="A33" s="191" t="inlineStr">
        <is>
          <t>April 2026</t>
        </is>
      </c>
      <c r="B33" s="191" t="inlineStr">
        <is>
          <t>Support Training</t>
        </is>
      </c>
      <c r="C33" s="191" t="inlineStr">
        <is>
          <t>Batch 2 - C360 (Girish)</t>
        </is>
      </c>
      <c r="D33" s="191" t="inlineStr">
        <is>
          <t>21-Apr</t>
        </is>
      </c>
      <c r="E33" s="191" t="inlineStr">
        <is>
          <t>24-Apr</t>
        </is>
      </c>
      <c r="F33" s="191" t="inlineStr">
        <is>
          <t>Girish A</t>
        </is>
      </c>
      <c r="G33" s="191" t="inlineStr">
        <is>
          <t>Offline</t>
        </is>
      </c>
      <c r="H33" s="191" t="inlineStr">
        <is>
          <t>Assessment - Communicate 360</t>
        </is>
      </c>
      <c r="I33" s="192" t="n">
        <v>9</v>
      </c>
    </row>
    <row r="34" ht="15.75" customHeight="1" s="156">
      <c r="A34" s="191" t="inlineStr">
        <is>
          <t>April 2026</t>
        </is>
      </c>
      <c r="B34" s="191" t="inlineStr">
        <is>
          <t>Support Training</t>
        </is>
      </c>
      <c r="C34" s="191" t="inlineStr">
        <is>
          <t>Batch - C360 (Harish)</t>
        </is>
      </c>
      <c r="D34" s="191" t="inlineStr">
        <is>
          <t>21-Apr</t>
        </is>
      </c>
      <c r="E34" s="191" t="inlineStr">
        <is>
          <t>24-Apr</t>
        </is>
      </c>
      <c r="F34" s="191" t="inlineStr">
        <is>
          <t>Harish Bhat</t>
        </is>
      </c>
      <c r="G34" s="191" t="inlineStr">
        <is>
          <t>Offline</t>
        </is>
      </c>
      <c r="H34" s="191" t="inlineStr">
        <is>
          <t>Assessment - Communicate 360</t>
        </is>
      </c>
      <c r="I34" s="192" t="n">
        <v>9</v>
      </c>
    </row>
    <row r="35" ht="15.75" customHeight="1" s="156">
      <c r="A35" s="191" t="inlineStr">
        <is>
          <t>April 2026</t>
        </is>
      </c>
      <c r="B35" s="191" t="inlineStr">
        <is>
          <t>Support Training</t>
        </is>
      </c>
      <c r="C35" s="191" t="inlineStr">
        <is>
          <t>Tool Building - C360 Modifications</t>
        </is>
      </c>
      <c r="D35" s="191" t="inlineStr">
        <is>
          <t>13-Apr</t>
        </is>
      </c>
      <c r="E35" s="191" t="inlineStr">
        <is>
          <t>30-Apr</t>
        </is>
      </c>
      <c r="F35" s="191" t="inlineStr">
        <is>
          <t>Raju Vernekar / Girish A / Harish Bhat</t>
        </is>
      </c>
      <c r="G35" s="191" t="inlineStr">
        <is>
          <t>Offline</t>
        </is>
      </c>
      <c r="H35" s="191" t="inlineStr">
        <is>
          <t>Tool Building - C360 Modifications</t>
        </is>
      </c>
      <c r="I35" s="192" t="n">
        <v>15</v>
      </c>
    </row>
    <row r="36" ht="15.75" customHeight="1" s="156">
      <c r="A36" s="191" t="inlineStr">
        <is>
          <t>April 2026</t>
        </is>
      </c>
      <c r="B36" s="191" t="inlineStr">
        <is>
          <t>Assessment</t>
        </is>
      </c>
      <c r="C36" s="191" t="inlineStr">
        <is>
          <t>Batch 1 - Correction C360</t>
        </is>
      </c>
      <c r="D36" s="191" t="inlineStr">
        <is>
          <t>11-Apr</t>
        </is>
      </c>
      <c r="E36" s="191" t="inlineStr">
        <is>
          <t>15-Apr</t>
        </is>
      </c>
      <c r="F36" s="191" t="inlineStr">
        <is>
          <t>Freeda Reshma Dsouza / Girish A / Harish Bhat</t>
        </is>
      </c>
      <c r="G36" s="191" t="inlineStr">
        <is>
          <t>Offline</t>
        </is>
      </c>
      <c r="H36" s="191" t="inlineStr">
        <is>
          <t>Correction of Assessment - C360</t>
        </is>
      </c>
      <c r="I36" s="192" t="n">
        <v>30</v>
      </c>
    </row>
    <row r="37" ht="15.75" customHeight="1" s="156">
      <c r="A37" s="191" t="inlineStr">
        <is>
          <t>April 2026</t>
        </is>
      </c>
      <c r="B37" s="191" t="inlineStr">
        <is>
          <t>Assessment</t>
        </is>
      </c>
      <c r="C37" s="191" t="inlineStr">
        <is>
          <t>Batch 2 - Correction C360</t>
        </is>
      </c>
      <c r="D37" s="191" t="inlineStr">
        <is>
          <t>27-Apr</t>
        </is>
      </c>
      <c r="E37" s="191" t="inlineStr">
        <is>
          <t>30-Apr</t>
        </is>
      </c>
      <c r="F37" s="191" t="inlineStr">
        <is>
          <t>Girish A / Harish Bhat</t>
        </is>
      </c>
      <c r="G37" s="191" t="inlineStr">
        <is>
          <t>Offline</t>
        </is>
      </c>
      <c r="H37" s="191" t="inlineStr">
        <is>
          <t>Correction of Assessment - C360</t>
        </is>
      </c>
      <c r="I37" s="192" t="n">
        <v>15</v>
      </c>
    </row>
    <row r="38" ht="15.75" customHeight="1" s="156">
      <c r="A38" s="191" t="inlineStr">
        <is>
          <t>April 2026</t>
        </is>
      </c>
      <c r="B38" s="191" t="inlineStr">
        <is>
          <t>Support Training</t>
        </is>
      </c>
      <c r="C38" s="191" t="inlineStr">
        <is>
          <t>Batch 1&amp;2 Report Generation</t>
        </is>
      </c>
      <c r="D38" s="191" t="inlineStr">
        <is>
          <t>21-Apr</t>
        </is>
      </c>
      <c r="E38" s="191" t="inlineStr">
        <is>
          <t>21-Apr</t>
        </is>
      </c>
      <c r="F38" s="191" t="inlineStr">
        <is>
          <t>Harish Bhat</t>
        </is>
      </c>
      <c r="G38" s="191" t="inlineStr">
        <is>
          <t>Offline</t>
        </is>
      </c>
      <c r="H38" s="191" t="inlineStr">
        <is>
          <t>Report Generation - C360</t>
        </is>
      </c>
      <c r="I38" s="192" t="n">
        <v>8</v>
      </c>
    </row>
    <row r="39" ht="15.75" customHeight="1" s="156">
      <c r="A39" s="189" t="inlineStr">
        <is>
          <t>April 2026</t>
        </is>
      </c>
      <c r="B39" s="189" t="inlineStr">
        <is>
          <t>Accop Training</t>
        </is>
      </c>
      <c r="C39" s="189" t="inlineStr">
        <is>
          <t>Session on AML &amp; Stock tips</t>
        </is>
      </c>
      <c r="D39" s="189" t="inlineStr">
        <is>
          <t>23-Apr</t>
        </is>
      </c>
      <c r="E39" s="189" t="inlineStr">
        <is>
          <t>23-Apr</t>
        </is>
      </c>
      <c r="F39" s="189" t="inlineStr">
        <is>
          <t>Girish A</t>
        </is>
      </c>
      <c r="G39" s="189" t="inlineStr">
        <is>
          <t>Online</t>
        </is>
      </c>
      <c r="H39" s="189" t="inlineStr">
        <is>
          <t>AML &amp; Stock tips</t>
        </is>
      </c>
      <c r="I39" s="190" t="n">
        <v>1.75</v>
      </c>
    </row>
    <row r="40" ht="15.75" customHeight="1" s="156">
      <c r="A40" s="189" t="inlineStr">
        <is>
          <t>April 2026</t>
        </is>
      </c>
      <c r="B40" s="189" t="inlineStr">
        <is>
          <t>NRI Team Training</t>
        </is>
      </c>
      <c r="C40" s="189" t="inlineStr">
        <is>
          <t>Session on AML &amp; Stock tips</t>
        </is>
      </c>
      <c r="D40" s="189" t="inlineStr">
        <is>
          <t>27-Apr</t>
        </is>
      </c>
      <c r="E40" s="189" t="inlineStr">
        <is>
          <t>27-Apr</t>
        </is>
      </c>
      <c r="F40" s="189" t="inlineStr">
        <is>
          <t>Harish Bhat</t>
        </is>
      </c>
      <c r="G40" s="189" t="inlineStr">
        <is>
          <t>Online</t>
        </is>
      </c>
      <c r="H40" s="189" t="inlineStr">
        <is>
          <t>AML &amp; Stock tips</t>
        </is>
      </c>
      <c r="I40" s="190" t="n">
        <v>1.75</v>
      </c>
    </row>
    <row r="41" ht="15.75" customHeight="1" s="156">
      <c r="A41" s="189" t="inlineStr">
        <is>
          <t>April 2026</t>
        </is>
      </c>
      <c r="B41" s="189" t="inlineStr">
        <is>
          <t>Fresh Hires Training</t>
        </is>
      </c>
      <c r="C41" s="189" t="inlineStr">
        <is>
          <t>Session on AML &amp; Stock tips</t>
        </is>
      </c>
      <c r="D41" s="189" t="inlineStr">
        <is>
          <t>29-Apr</t>
        </is>
      </c>
      <c r="E41" s="189" t="inlineStr">
        <is>
          <t>29-Apr</t>
        </is>
      </c>
      <c r="F41" s="189" t="inlineStr">
        <is>
          <t>Girish A</t>
        </is>
      </c>
      <c r="G41" s="189" t="inlineStr">
        <is>
          <t>Online</t>
        </is>
      </c>
      <c r="H41" s="189" t="inlineStr">
        <is>
          <t>AML &amp; Stock tips</t>
        </is>
      </c>
      <c r="I41" s="190" t="n">
        <v>0.75</v>
      </c>
    </row>
    <row r="42" ht="15.75" customHeight="1" s="156">
      <c r="A42" s="189" t="inlineStr">
        <is>
          <t>April 2026</t>
        </is>
      </c>
      <c r="B42" s="189" t="inlineStr">
        <is>
          <t>Training Need Analysis</t>
        </is>
      </c>
      <c r="C42" s="189" t="inlineStr">
        <is>
          <t>Understanding requirements from CS</t>
        </is>
      </c>
      <c r="D42" s="189" t="inlineStr">
        <is>
          <t>16-Apr</t>
        </is>
      </c>
      <c r="E42" s="189" t="inlineStr">
        <is>
          <t>16-Apr</t>
        </is>
      </c>
      <c r="F42" s="189" t="inlineStr">
        <is>
          <t>Freeda Reshma Dsouza</t>
        </is>
      </c>
      <c r="G42" s="189" t="inlineStr">
        <is>
          <t>Online</t>
        </is>
      </c>
      <c r="H42" s="189" t="inlineStr">
        <is>
          <t>Training Need Analysis</t>
        </is>
      </c>
      <c r="I42" s="190" t="n">
        <v>1</v>
      </c>
    </row>
    <row r="43" ht="15.75" customHeight="1" s="156">
      <c r="A43" s="189" t="inlineStr">
        <is>
          <t>April 2026</t>
        </is>
      </c>
      <c r="B43" s="189" t="inlineStr">
        <is>
          <t>Self Assessment Form</t>
        </is>
      </c>
      <c r="C43" s="189" t="inlineStr">
        <is>
          <t>Building self assessment for CS</t>
        </is>
      </c>
      <c r="D43" s="189" t="inlineStr">
        <is>
          <t>17-Apr</t>
        </is>
      </c>
      <c r="E43" s="189" t="inlineStr">
        <is>
          <t>17-Apr</t>
        </is>
      </c>
      <c r="F43" s="189" t="inlineStr">
        <is>
          <t>Freeda Reshma Dsouza</t>
        </is>
      </c>
      <c r="G43" s="189" t="inlineStr">
        <is>
          <t>Online</t>
        </is>
      </c>
      <c r="H43" s="189" t="inlineStr">
        <is>
          <t>Self Assessment</t>
        </is>
      </c>
      <c r="I43" s="190" t="n">
        <v>0.5</v>
      </c>
    </row>
    <row r="44" ht="15.75" customHeight="1" s="156">
      <c r="A44" s="191" t="inlineStr">
        <is>
          <t>April 2026</t>
        </is>
      </c>
      <c r="B44" s="191" t="inlineStr">
        <is>
          <t>Varsity Scripts Writing</t>
        </is>
      </c>
      <c r="C44" s="191" t="inlineStr">
        <is>
          <t>Script preparation</t>
        </is>
      </c>
      <c r="D44" s="191" t="inlineStr">
        <is>
          <t>-</t>
        </is>
      </c>
      <c r="E44" s="191" t="inlineStr">
        <is>
          <t>-</t>
        </is>
      </c>
      <c r="F44" s="191" t="inlineStr">
        <is>
          <t>Harish Bhat</t>
        </is>
      </c>
      <c r="G44" s="191" t="inlineStr">
        <is>
          <t>Offline</t>
        </is>
      </c>
      <c r="H44" s="191" t="inlineStr">
        <is>
          <t>Varsity Scripts</t>
        </is>
      </c>
      <c r="I44" s="192" t="n">
        <v>2</v>
      </c>
    </row>
    <row r="45" ht="15.75" customHeight="1" s="156">
      <c r="A45" s="191" t="inlineStr">
        <is>
          <t>April 2026</t>
        </is>
      </c>
      <c r="B45" s="191" t="inlineStr">
        <is>
          <t>Varsity Video Shoot</t>
        </is>
      </c>
      <c r="C45" s="191" t="inlineStr">
        <is>
          <t>Video recording</t>
        </is>
      </c>
      <c r="D45" s="191" t="inlineStr">
        <is>
          <t>-</t>
        </is>
      </c>
      <c r="E45" s="191" t="inlineStr">
        <is>
          <t>-</t>
        </is>
      </c>
      <c r="F45" s="191" t="inlineStr">
        <is>
          <t>Harish Bhat</t>
        </is>
      </c>
      <c r="G45" s="191" t="inlineStr">
        <is>
          <t>Offline</t>
        </is>
      </c>
      <c r="H45" s="191" t="inlineStr">
        <is>
          <t>Varsity Videos</t>
        </is>
      </c>
      <c r="I45" s="192" t="n">
        <v>2</v>
      </c>
    </row>
    <row r="46" ht="15.75" customHeight="1" s="156">
      <c r="A46" s="191" t="inlineStr">
        <is>
          <t>April 2026</t>
        </is>
      </c>
      <c r="B46" s="191" t="inlineStr">
        <is>
          <t>Varsity Backend Support</t>
        </is>
      </c>
      <c r="C46" s="191" t="inlineStr">
        <is>
          <t>Tickets, exam schedule</t>
        </is>
      </c>
      <c r="D46" s="191" t="inlineStr">
        <is>
          <t>-</t>
        </is>
      </c>
      <c r="E46" s="191" t="inlineStr">
        <is>
          <t>-</t>
        </is>
      </c>
      <c r="F46" s="191" t="inlineStr">
        <is>
          <t>Harish Bhat</t>
        </is>
      </c>
      <c r="G46" s="191" t="inlineStr">
        <is>
          <t>Offline</t>
        </is>
      </c>
      <c r="H46" s="191" t="inlineStr">
        <is>
          <t>Varsity Backend</t>
        </is>
      </c>
      <c r="I46" s="192" t="n">
        <v>15</v>
      </c>
    </row>
    <row r="47" ht="15.75" customHeight="1" s="156">
      <c r="A47" s="191" t="inlineStr">
        <is>
          <t>April 2026</t>
        </is>
      </c>
      <c r="B47" s="191" t="inlineStr">
        <is>
          <t>Mock Calls</t>
        </is>
      </c>
      <c r="C47" s="191" t="inlineStr">
        <is>
          <t>Mock calls for SM</t>
        </is>
      </c>
      <c r="D47" s="191" t="inlineStr">
        <is>
          <t>30-Apr</t>
        </is>
      </c>
      <c r="E47" s="191" t="inlineStr">
        <is>
          <t>30-Apr</t>
        </is>
      </c>
      <c r="F47" s="191" t="inlineStr">
        <is>
          <t>Harish Bhat</t>
        </is>
      </c>
      <c r="G47" s="191" t="inlineStr">
        <is>
          <t>Offline</t>
        </is>
      </c>
      <c r="H47" s="191" t="inlineStr">
        <is>
          <t>Mock calls</t>
        </is>
      </c>
      <c r="I47" s="192" t="n">
        <v>2</v>
      </c>
    </row>
    <row r="48" ht="15.75" customHeight="1" s="156">
      <c r="A48" s="191" t="inlineStr">
        <is>
          <t>April 2026</t>
        </is>
      </c>
      <c r="B48" s="191" t="inlineStr">
        <is>
          <t>Mock Calls</t>
        </is>
      </c>
      <c r="C48" s="191" t="inlineStr">
        <is>
          <t>Mock calls for SM</t>
        </is>
      </c>
      <c r="D48" s="191" t="inlineStr">
        <is>
          <t>30-Apr</t>
        </is>
      </c>
      <c r="E48" s="191" t="inlineStr">
        <is>
          <t>30-Apr</t>
        </is>
      </c>
      <c r="F48" s="191" t="inlineStr">
        <is>
          <t>Girish A</t>
        </is>
      </c>
      <c r="G48" s="191" t="inlineStr">
        <is>
          <t>Offline</t>
        </is>
      </c>
      <c r="H48" s="191" t="inlineStr">
        <is>
          <t>Mock calls</t>
        </is>
      </c>
      <c r="I48" s="192" t="n">
        <v>2</v>
      </c>
    </row>
    <row r="49" ht="15.75" customHeight="1" s="156">
      <c r="A49" s="189" t="inlineStr">
        <is>
          <t>April 2026</t>
        </is>
      </c>
      <c r="B49" s="189" t="inlineStr">
        <is>
          <t>Ticket Tool Video</t>
        </is>
      </c>
      <c r="C49" s="189" t="inlineStr">
        <is>
          <t>Video production</t>
        </is>
      </c>
      <c r="D49" s="189" t="inlineStr">
        <is>
          <t>2-May</t>
        </is>
      </c>
      <c r="E49" s="189" t="inlineStr">
        <is>
          <t>2-May</t>
        </is>
      </c>
      <c r="F49" s="189" t="inlineStr">
        <is>
          <t>Harish Bhat</t>
        </is>
      </c>
      <c r="G49" s="189" t="inlineStr">
        <is>
          <t>Online</t>
        </is>
      </c>
      <c r="H49" s="189" t="inlineStr">
        <is>
          <t>Ticket Tool</t>
        </is>
      </c>
      <c r="I49" s="190" t="n">
        <v>3</v>
      </c>
    </row>
    <row r="50" ht="15.75" customHeight="1" s="156">
      <c r="A50" s="189" t="inlineStr">
        <is>
          <t>May 2026</t>
        </is>
      </c>
      <c r="B50" s="189" t="inlineStr">
        <is>
          <t>Support Training</t>
        </is>
      </c>
      <c r="C50" s="189" t="inlineStr">
        <is>
          <t>Session on AML and unsolicited SMS and tips</t>
        </is>
      </c>
      <c r="D50" s="189" t="inlineStr">
        <is>
          <t>2026-05-15</t>
        </is>
      </c>
      <c r="E50" s="189" t="inlineStr">
        <is>
          <t>—</t>
        </is>
      </c>
      <c r="F50" s="189" t="inlineStr">
        <is>
          <t>Girish A</t>
        </is>
      </c>
      <c r="G50" s="189" t="inlineStr">
        <is>
          <t>Online</t>
        </is>
      </c>
      <c r="H50" s="189" t="inlineStr">
        <is>
          <t>Session on AML and unsolicited SMS and tips</t>
        </is>
      </c>
      <c r="I50" s="190" t="n">
        <v>0.75</v>
      </c>
    </row>
    <row r="51" ht="15.75" customHeight="1" s="156">
      <c r="A51" s="189" t="inlineStr">
        <is>
          <t>May 2026</t>
        </is>
      </c>
      <c r="B51" s="189" t="inlineStr">
        <is>
          <t>Support Training</t>
        </is>
      </c>
      <c r="C51" s="189" t="inlineStr">
        <is>
          <t>Session on AML and Unsolicited SMS &amp; Tips</t>
        </is>
      </c>
      <c r="D51" s="189" t="inlineStr">
        <is>
          <t>2026-05-15</t>
        </is>
      </c>
      <c r="E51" s="189" t="inlineStr">
        <is>
          <t>—</t>
        </is>
      </c>
      <c r="F51" s="189" t="inlineStr">
        <is>
          <t>Harish Bhat</t>
        </is>
      </c>
      <c r="G51" s="189" t="inlineStr">
        <is>
          <t>Online</t>
        </is>
      </c>
      <c r="H51" s="189" t="inlineStr">
        <is>
          <t>Session on AML and Unsolicited SMS &amp; Tips</t>
        </is>
      </c>
      <c r="I51" s="190" t="n">
        <v>0.75</v>
      </c>
    </row>
    <row r="52" ht="15.75" customHeight="1" s="156">
      <c r="A52" s="189" t="inlineStr">
        <is>
          <t>May 2026</t>
        </is>
      </c>
      <c r="B52" s="189" t="inlineStr">
        <is>
          <t>Support Training</t>
        </is>
      </c>
      <c r="C52" s="189" t="inlineStr">
        <is>
          <t>Meeting with CS</t>
        </is>
      </c>
      <c r="D52" s="189" t="inlineStr">
        <is>
          <t>2026-05-18</t>
        </is>
      </c>
      <c r="E52" s="189" t="inlineStr">
        <is>
          <t>—</t>
        </is>
      </c>
      <c r="F52" s="189" t="inlineStr">
        <is>
          <t>Freeda Reshma Dsouza</t>
        </is>
      </c>
      <c r="G52" s="189" t="inlineStr">
        <is>
          <t>Online</t>
        </is>
      </c>
      <c r="H52" s="189" t="inlineStr">
        <is>
          <t>Meeting with CS</t>
        </is>
      </c>
      <c r="I52" s="190" t="n">
        <v>0.25</v>
      </c>
    </row>
    <row r="53" ht="15.75" customHeight="1" s="156">
      <c r="A53" s="189" t="inlineStr">
        <is>
          <t>May 2026</t>
        </is>
      </c>
      <c r="B53" s="189" t="inlineStr">
        <is>
          <t>Support Training</t>
        </is>
      </c>
      <c r="C53" s="189" t="inlineStr">
        <is>
          <t>Session on Primary and Secondary transfer of securities and SOPs of Abusive calls</t>
        </is>
      </c>
      <c r="D53" s="189" t="inlineStr">
        <is>
          <t>2026-05-22</t>
        </is>
      </c>
      <c r="E53" s="189" t="inlineStr">
        <is>
          <t>—</t>
        </is>
      </c>
      <c r="F53" s="189" t="inlineStr">
        <is>
          <t>Girish A</t>
        </is>
      </c>
      <c r="G53" s="189" t="inlineStr">
        <is>
          <t>Online</t>
        </is>
      </c>
      <c r="H53" s="189" t="inlineStr">
        <is>
          <t>Session on Primary and Secondary transfer of securities and SOPs of Abusive calls</t>
        </is>
      </c>
      <c r="I53" s="190" t="n">
        <v>1</v>
      </c>
    </row>
    <row r="54" ht="15.75" customHeight="1" s="156">
      <c r="A54" s="189" t="inlineStr">
        <is>
          <t>May 2026</t>
        </is>
      </c>
      <c r="B54" s="189" t="inlineStr">
        <is>
          <t>Support Training</t>
        </is>
      </c>
      <c r="C54" s="189" t="inlineStr">
        <is>
          <t>Session on Primary and Secondary transfer of securities and SOPs of Abusive calls</t>
        </is>
      </c>
      <c r="D54" s="189" t="inlineStr">
        <is>
          <t>2026-05-22</t>
        </is>
      </c>
      <c r="E54" s="189" t="inlineStr">
        <is>
          <t>—</t>
        </is>
      </c>
      <c r="F54" s="189" t="inlineStr">
        <is>
          <t>Girish A</t>
        </is>
      </c>
      <c r="G54" s="189" t="inlineStr">
        <is>
          <t>Online</t>
        </is>
      </c>
      <c r="H54" s="189" t="inlineStr">
        <is>
          <t>Session on Primary and Secondary transfer of securities and SOPs of Abusive calls</t>
        </is>
      </c>
      <c r="I54" s="190" t="n">
        <v>1</v>
      </c>
    </row>
    <row r="55" ht="15.75" customHeight="1" s="156">
      <c r="A55" s="189" t="inlineStr">
        <is>
          <t>May 2026</t>
        </is>
      </c>
      <c r="B55" s="189" t="inlineStr">
        <is>
          <t>Support Training</t>
        </is>
      </c>
      <c r="C55" s="189" t="inlineStr">
        <is>
          <t>Reviweing the Mock call and Pick &amp; Speak Assessments</t>
        </is>
      </c>
      <c r="D55" s="189" t="inlineStr">
        <is>
          <t>2026-05-18</t>
        </is>
      </c>
      <c r="E55" s="189" t="inlineStr">
        <is>
          <t>—</t>
        </is>
      </c>
      <c r="F55" s="189" t="inlineStr">
        <is>
          <t>Girish A</t>
        </is>
      </c>
      <c r="G55" s="189" t="inlineStr">
        <is>
          <t>Online</t>
        </is>
      </c>
      <c r="H55" s="189" t="inlineStr">
        <is>
          <t>Reviweing the Mock call and Pick &amp; Speak Assessments</t>
        </is>
      </c>
      <c r="I55" s="190" t="n">
        <v>2.5</v>
      </c>
    </row>
    <row r="56" ht="15.75" customHeight="1" s="156">
      <c r="A56" s="189" t="inlineStr">
        <is>
          <t>May 2026</t>
        </is>
      </c>
      <c r="B56" s="189" t="inlineStr">
        <is>
          <t>Support Training</t>
        </is>
      </c>
      <c r="C56" s="189" t="inlineStr">
        <is>
          <t>AML &amp; Unsolicited SMS training</t>
        </is>
      </c>
      <c r="D56" s="189" t="inlineStr">
        <is>
          <t>2026-05-08</t>
        </is>
      </c>
      <c r="E56" s="189" t="inlineStr">
        <is>
          <t>—</t>
        </is>
      </c>
      <c r="F56" s="189" t="inlineStr">
        <is>
          <t>Girish A</t>
        </is>
      </c>
      <c r="G56" s="189" t="inlineStr">
        <is>
          <t>Online</t>
        </is>
      </c>
      <c r="H56" s="189" t="inlineStr">
        <is>
          <t>AML &amp; Unsolicited SMS training</t>
        </is>
      </c>
      <c r="I56" s="190" t="n">
        <v>0.75</v>
      </c>
    </row>
    <row r="57" ht="15.75" customHeight="1" s="156">
      <c r="A57" s="189" t="inlineStr">
        <is>
          <t>May 2026</t>
        </is>
      </c>
      <c r="B57" s="189" t="inlineStr">
        <is>
          <t>Support Training</t>
        </is>
      </c>
      <c r="C57" s="189" t="inlineStr">
        <is>
          <t>Session on Primary and Secondary transfer of securities and SOPs of Abusive calls</t>
        </is>
      </c>
      <c r="D57" s="189" t="inlineStr">
        <is>
          <t>2026-05-20</t>
        </is>
      </c>
      <c r="E57" s="189" t="inlineStr">
        <is>
          <t>—</t>
        </is>
      </c>
      <c r="F57" s="189" t="inlineStr">
        <is>
          <t>Girish A</t>
        </is>
      </c>
      <c r="G57" s="189" t="inlineStr">
        <is>
          <t>Online</t>
        </is>
      </c>
      <c r="H57" s="189" t="inlineStr">
        <is>
          <t>Session on Primary and Secondary transfer of securities and SOPs of Abusive calls</t>
        </is>
      </c>
      <c r="I57" s="190" t="n">
        <v>1</v>
      </c>
    </row>
    <row r="58" ht="15.75" customHeight="1" s="156">
      <c r="A58" s="189" t="inlineStr">
        <is>
          <t>May 2026</t>
        </is>
      </c>
      <c r="B58" s="189" t="inlineStr">
        <is>
          <t>Other</t>
        </is>
      </c>
      <c r="C58" s="189" t="inlineStr">
        <is>
          <t>Meeting with legal team</t>
        </is>
      </c>
      <c r="D58" s="189" t="inlineStr">
        <is>
          <t>2026-05-12</t>
        </is>
      </c>
      <c r="E58" s="189" t="inlineStr">
        <is>
          <t>—</t>
        </is>
      </c>
      <c r="F58" s="189" t="inlineStr">
        <is>
          <t>Harish Bhat</t>
        </is>
      </c>
      <c r="G58" s="189" t="inlineStr">
        <is>
          <t>Online</t>
        </is>
      </c>
      <c r="H58" s="189" t="inlineStr">
        <is>
          <t>Rupeetales meeting</t>
        </is>
      </c>
      <c r="I58" s="190" t="n">
        <v>0.5</v>
      </c>
    </row>
    <row r="59" ht="15.75" customHeight="1" s="156">
      <c r="A59" s="189" t="inlineStr">
        <is>
          <t>May 2026</t>
        </is>
      </c>
      <c r="B59" s="189" t="inlineStr">
        <is>
          <t>Support Training</t>
        </is>
      </c>
      <c r="C59" s="189" t="inlineStr">
        <is>
          <t>Training for CS</t>
        </is>
      </c>
      <c r="D59" s="189" t="inlineStr">
        <is>
          <t>2026-05-19</t>
        </is>
      </c>
      <c r="E59" s="189" t="inlineStr">
        <is>
          <t>—</t>
        </is>
      </c>
      <c r="F59" s="189" t="inlineStr">
        <is>
          <t>Freeda Reshma Dsouza</t>
        </is>
      </c>
      <c r="G59" s="189" t="inlineStr">
        <is>
          <t>Online</t>
        </is>
      </c>
      <c r="H59" s="189" t="inlineStr">
        <is>
          <t>Training for CS</t>
        </is>
      </c>
      <c r="I59" s="190" t="n">
        <v>1.5</v>
      </c>
    </row>
    <row r="60" ht="15.75" customHeight="1" s="156">
      <c r="A60" s="189" t="inlineStr">
        <is>
          <t>May 2026</t>
        </is>
      </c>
      <c r="B60" s="189" t="inlineStr">
        <is>
          <t>Support Training</t>
        </is>
      </c>
      <c r="C60" s="189" t="inlineStr">
        <is>
          <t>Session on Primary and Secondary transfer of securities and SOPs of Abusive calls</t>
        </is>
      </c>
      <c r="D60" s="189" t="inlineStr">
        <is>
          <t>2026-05-20</t>
        </is>
      </c>
      <c r="E60" s="189" t="inlineStr">
        <is>
          <t>—</t>
        </is>
      </c>
      <c r="F60" s="189" t="inlineStr">
        <is>
          <t>Harish Bhat</t>
        </is>
      </c>
      <c r="G60" s="189" t="inlineStr">
        <is>
          <t>Online</t>
        </is>
      </c>
      <c r="H60" s="189" t="inlineStr">
        <is>
          <t>Session on Primary and Secondary transfer of securities and SOPs of Abusive calls</t>
        </is>
      </c>
      <c r="I60" s="190" t="n">
        <v>1.25</v>
      </c>
    </row>
    <row r="61" ht="15.75" customHeight="1" s="156">
      <c r="A61" s="189" t="inlineStr">
        <is>
          <t>May 2026</t>
        </is>
      </c>
      <c r="B61" s="189" t="inlineStr">
        <is>
          <t>Support Training</t>
        </is>
      </c>
      <c r="C61" s="189" t="inlineStr">
        <is>
          <t>Session on Primary and Secondary transfer of securities and SOPs of Abusive calls ·  Harish</t>
        </is>
      </c>
      <c r="D61" s="189" t="inlineStr">
        <is>
          <t>2026-05-21</t>
        </is>
      </c>
      <c r="E61" s="189" t="inlineStr">
        <is>
          <t>—</t>
        </is>
      </c>
      <c r="F61" s="189" t="inlineStr">
        <is>
          <t>Harish Bhat</t>
        </is>
      </c>
      <c r="G61" s="189" t="inlineStr">
        <is>
          <t>Online</t>
        </is>
      </c>
      <c r="H61" s="189" t="inlineStr">
        <is>
          <t>Session on Primary and Secondary transfer of securities and SOPs of Abusive calls ·  Harish</t>
        </is>
      </c>
      <c r="I61" s="190" t="n">
        <v>1.25</v>
      </c>
    </row>
    <row r="62" ht="15.75" customHeight="1" s="156">
      <c r="A62" s="191" t="inlineStr">
        <is>
          <t>May 2026</t>
        </is>
      </c>
      <c r="B62" s="191" t="inlineStr">
        <is>
          <t>Support Training</t>
        </is>
      </c>
      <c r="C62" s="191" t="inlineStr">
        <is>
          <t>Sadique team</t>
        </is>
      </c>
      <c r="D62" s="191" t="inlineStr">
        <is>
          <t>2026-05-04</t>
        </is>
      </c>
      <c r="E62" s="191" t="inlineStr">
        <is>
          <t>—</t>
        </is>
      </c>
      <c r="F62" s="191" t="inlineStr">
        <is>
          <t>Freeda Reshma Dsouza</t>
        </is>
      </c>
      <c r="G62" s="191" t="inlineStr">
        <is>
          <t>Offline</t>
        </is>
      </c>
      <c r="H62" s="191" t="inlineStr">
        <is>
          <t>Communicate 360- Anish's team</t>
        </is>
      </c>
      <c r="I62" s="192" t="n">
        <v>4.5</v>
      </c>
    </row>
    <row r="63" ht="15.75" customHeight="1" s="156">
      <c r="A63" s="191" t="inlineStr">
        <is>
          <t>May 2026</t>
        </is>
      </c>
      <c r="B63" s="191" t="inlineStr">
        <is>
          <t>Support Training</t>
        </is>
      </c>
      <c r="C63" s="191" t="inlineStr">
        <is>
          <t>Communicate 360- Anish's team</t>
        </is>
      </c>
      <c r="D63" s="191" t="inlineStr">
        <is>
          <t>2026-05-05</t>
        </is>
      </c>
      <c r="E63" s="191" t="inlineStr">
        <is>
          <t>—</t>
        </is>
      </c>
      <c r="F63" s="191" t="inlineStr">
        <is>
          <t>Freeda Reshma Dsouza</t>
        </is>
      </c>
      <c r="G63" s="191" t="inlineStr">
        <is>
          <t>Offline</t>
        </is>
      </c>
      <c r="H63" s="191" t="inlineStr">
        <is>
          <t>Communicate 360- Anish's team</t>
        </is>
      </c>
      <c r="I63" s="192" t="n">
        <v>4.5</v>
      </c>
    </row>
    <row r="64" ht="15.75" customHeight="1" s="156">
      <c r="A64" s="191" t="inlineStr">
        <is>
          <t>May 2026</t>
        </is>
      </c>
      <c r="B64" s="191" t="inlineStr">
        <is>
          <t>Support Training</t>
        </is>
      </c>
      <c r="C64" s="191" t="inlineStr">
        <is>
          <t>Communicate 360- Anish's team</t>
        </is>
      </c>
      <c r="D64" s="191" t="inlineStr">
        <is>
          <t>2026-05-06</t>
        </is>
      </c>
      <c r="E64" s="191" t="inlineStr">
        <is>
          <t>—</t>
        </is>
      </c>
      <c r="F64" s="191" t="inlineStr">
        <is>
          <t>Freeda Reshma Dsouza</t>
        </is>
      </c>
      <c r="G64" s="191" t="inlineStr">
        <is>
          <t>Offline</t>
        </is>
      </c>
      <c r="H64" s="191" t="inlineStr">
        <is>
          <t>Communicate 360- Anish's team</t>
        </is>
      </c>
      <c r="I64" s="192" t="n">
        <v>3.5</v>
      </c>
    </row>
    <row r="65" ht="15.75" customHeight="1" s="156">
      <c r="A65" s="191" t="inlineStr">
        <is>
          <t>May 2026</t>
        </is>
      </c>
      <c r="B65" s="191" t="inlineStr">
        <is>
          <t>Support Training</t>
        </is>
      </c>
      <c r="C65" s="191" t="inlineStr">
        <is>
          <t>Communicate 360- Anish's team</t>
        </is>
      </c>
      <c r="D65" s="191" t="inlineStr">
        <is>
          <t>2026-05-07</t>
        </is>
      </c>
      <c r="E65" s="191" t="inlineStr">
        <is>
          <t>—</t>
        </is>
      </c>
      <c r="F65" s="191" t="inlineStr">
        <is>
          <t>Freeda Reshma Dsouza</t>
        </is>
      </c>
      <c r="G65" s="191" t="inlineStr">
        <is>
          <t>Offline</t>
        </is>
      </c>
      <c r="H65" s="191" t="inlineStr">
        <is>
          <t>Communicate 360- Anish's team</t>
        </is>
      </c>
      <c r="I65" s="192" t="n">
        <v>3.5</v>
      </c>
    </row>
    <row r="66" ht="15.75" customHeight="1" s="156">
      <c r="A66" s="189" t="inlineStr">
        <is>
          <t>May 2026</t>
        </is>
      </c>
      <c r="B66" s="189" t="inlineStr">
        <is>
          <t>Support Training</t>
        </is>
      </c>
      <c r="C66" s="189" t="inlineStr">
        <is>
          <t>Review on Pick &amp; Speak</t>
        </is>
      </c>
      <c r="D66" s="189" t="inlineStr">
        <is>
          <t>2026-05-07</t>
        </is>
      </c>
      <c r="E66" s="189" t="inlineStr">
        <is>
          <t>—</t>
        </is>
      </c>
      <c r="F66" s="189" t="inlineStr">
        <is>
          <t>Freeda Reshma Dsouza</t>
        </is>
      </c>
      <c r="G66" s="189" t="inlineStr">
        <is>
          <t>Online</t>
        </is>
      </c>
      <c r="H66" s="189" t="inlineStr">
        <is>
          <t>Review on Pick &amp; Speak</t>
        </is>
      </c>
      <c r="I66" s="190" t="n">
        <v>2</v>
      </c>
    </row>
    <row r="67" ht="15.75" customHeight="1" s="156">
      <c r="A67" s="189" t="inlineStr">
        <is>
          <t>May 2026</t>
        </is>
      </c>
      <c r="B67" s="189" t="inlineStr">
        <is>
          <t>Support Training</t>
        </is>
      </c>
      <c r="C67" s="189" t="inlineStr">
        <is>
          <t>Session on Unsolicited SMS and Tips</t>
        </is>
      </c>
      <c r="D67" s="189" t="inlineStr">
        <is>
          <t>2026-05-27</t>
        </is>
      </c>
      <c r="E67" s="189" t="inlineStr">
        <is>
          <t>—</t>
        </is>
      </c>
      <c r="F67" s="189" t="inlineStr">
        <is>
          <t>Girish A</t>
        </is>
      </c>
      <c r="G67" s="189" t="inlineStr">
        <is>
          <t>Online</t>
        </is>
      </c>
      <c r="H67" s="189" t="inlineStr">
        <is>
          <t>Session on Unsolicited SMS and Tips</t>
        </is>
      </c>
      <c r="I67" s="190" t="n">
        <v>0.5</v>
      </c>
    </row>
    <row r="68" ht="15.75" customHeight="1" s="156">
      <c r="A68" s="189" t="inlineStr">
        <is>
          <t>May 2026</t>
        </is>
      </c>
      <c r="B68" s="189" t="inlineStr">
        <is>
          <t>Support Training</t>
        </is>
      </c>
      <c r="C68" s="189" t="inlineStr">
        <is>
          <t>Session on Primary and Secondary transfer of securities and SOPs of Abusive calls</t>
        </is>
      </c>
      <c r="D68" s="189" t="inlineStr">
        <is>
          <t>2026-05-20</t>
        </is>
      </c>
      <c r="E68" s="189" t="inlineStr">
        <is>
          <t>—</t>
        </is>
      </c>
      <c r="F68" s="189" t="inlineStr">
        <is>
          <t>Harish Bhat</t>
        </is>
      </c>
      <c r="G68" s="189" t="inlineStr">
        <is>
          <t>Online</t>
        </is>
      </c>
      <c r="H68" s="189" t="inlineStr">
        <is>
          <t>Session on Primary and Secondary transfer of securities and SOPs of Abusive calls</t>
        </is>
      </c>
      <c r="I68" s="190" t="n">
        <v>1</v>
      </c>
    </row>
    <row r="69" ht="15.75" customHeight="1" s="156">
      <c r="A69" s="189" t="inlineStr">
        <is>
          <t>May 2026</t>
        </is>
      </c>
      <c r="B69" s="189" t="inlineStr">
        <is>
          <t>Support Training</t>
        </is>
      </c>
      <c r="C69" s="189" t="inlineStr">
        <is>
          <t>Session on Primary and Secondary transfer of securities and SOPs of Abusive calls</t>
        </is>
      </c>
      <c r="D69" s="189" t="inlineStr">
        <is>
          <t>2026-05-25</t>
        </is>
      </c>
      <c r="E69" s="189" t="inlineStr">
        <is>
          <t>—</t>
        </is>
      </c>
      <c r="F69" s="189" t="inlineStr">
        <is>
          <t>Girish A</t>
        </is>
      </c>
      <c r="G69" s="189" t="inlineStr">
        <is>
          <t>Online</t>
        </is>
      </c>
      <c r="H69" s="189" t="inlineStr">
        <is>
          <t>Session on Primary and Secondary transfer of securities and SOPs of Abusive calls</t>
        </is>
      </c>
      <c r="I69" s="190" t="n">
        <v>1</v>
      </c>
    </row>
    <row r="70" ht="15.75" customHeight="1" s="156">
      <c r="A70" s="189" t="inlineStr">
        <is>
          <t>May 2026</t>
        </is>
      </c>
      <c r="B70" s="189" t="inlineStr">
        <is>
          <t>Support Training</t>
        </is>
      </c>
      <c r="C70" s="189" t="inlineStr">
        <is>
          <t>Session on Unsolicited SMS and Tips</t>
        </is>
      </c>
      <c r="D70" s="189" t="inlineStr">
        <is>
          <t>2026-05-27</t>
        </is>
      </c>
      <c r="E70" s="189" t="inlineStr">
        <is>
          <t>—</t>
        </is>
      </c>
      <c r="F70" s="189" t="inlineStr">
        <is>
          <t>Girish A</t>
        </is>
      </c>
      <c r="G70" s="189" t="inlineStr">
        <is>
          <t>Online</t>
        </is>
      </c>
      <c r="H70" s="189" t="inlineStr">
        <is>
          <t>Session on Unsolicited SMS and Tips</t>
        </is>
      </c>
      <c r="I70" s="190" t="n">
        <v>1</v>
      </c>
    </row>
    <row r="71" ht="15.75" customHeight="1" s="156">
      <c r="A71" s="189" t="inlineStr">
        <is>
          <t>May 2026</t>
        </is>
      </c>
      <c r="B71" s="189" t="inlineStr">
        <is>
          <t>Assessment</t>
        </is>
      </c>
      <c r="C71" s="189" t="inlineStr">
        <is>
          <t>Reviweing the Mock call and Pick &amp; Speak Assessments</t>
        </is>
      </c>
      <c r="D71" s="189" t="inlineStr">
        <is>
          <t>2026-05-18</t>
        </is>
      </c>
      <c r="E71" s="189" t="inlineStr">
        <is>
          <t>—</t>
        </is>
      </c>
      <c r="F71" s="189" t="inlineStr">
        <is>
          <t>Harish Bhat</t>
        </is>
      </c>
      <c r="G71" s="189" t="inlineStr">
        <is>
          <t>Online</t>
        </is>
      </c>
      <c r="H71" s="189" t="inlineStr">
        <is>
          <t>Reviweing the Mock call and Pick &amp; Speak Assessments</t>
        </is>
      </c>
      <c r="I71" s="190" t="n">
        <v>2.5</v>
      </c>
    </row>
    <row r="72" ht="15.75" customHeight="1" s="156">
      <c r="A72" s="191" t="inlineStr">
        <is>
          <t>May 2026</t>
        </is>
      </c>
      <c r="B72" s="191" t="inlineStr">
        <is>
          <t>Other</t>
        </is>
      </c>
      <c r="C72" s="191" t="inlineStr">
        <is>
          <t>Varsity shoot</t>
        </is>
      </c>
      <c r="D72" s="191" t="inlineStr">
        <is>
          <t>2026-05-22</t>
        </is>
      </c>
      <c r="E72" s="191" t="inlineStr">
        <is>
          <t>—</t>
        </is>
      </c>
      <c r="F72" s="191" t="inlineStr">
        <is>
          <t>Harish Bhat</t>
        </is>
      </c>
      <c r="G72" s="191" t="inlineStr">
        <is>
          <t>Offline</t>
        </is>
      </c>
      <c r="H72" s="191" t="inlineStr">
        <is>
          <t>Varsity shoot</t>
        </is>
      </c>
      <c r="I72" s="192" t="n">
        <v>1</v>
      </c>
    </row>
    <row r="73" ht="15.75" customHeight="1" s="156">
      <c r="A73" s="189" t="inlineStr">
        <is>
          <t>May 2026</t>
        </is>
      </c>
      <c r="B73" s="189" t="inlineStr">
        <is>
          <t>Support Training</t>
        </is>
      </c>
      <c r="C73" s="189" t="inlineStr">
        <is>
          <t>Session on Primary and Secondary transfer of securities and SOPs of Abusive calls</t>
        </is>
      </c>
      <c r="D73" s="189" t="inlineStr">
        <is>
          <t>2026-05-22</t>
        </is>
      </c>
      <c r="E73" s="189" t="inlineStr">
        <is>
          <t>—</t>
        </is>
      </c>
      <c r="F73" s="189" t="inlineStr">
        <is>
          <t>Harish Bhat</t>
        </is>
      </c>
      <c r="G73" s="189" t="inlineStr">
        <is>
          <t>Online</t>
        </is>
      </c>
      <c r="H73" s="189" t="inlineStr">
        <is>
          <t>Session on Primary and Secondary transfer of securities and SOPs of Abusive calls</t>
        </is>
      </c>
      <c r="I73" s="190" t="n">
        <v>1</v>
      </c>
    </row>
    <row r="74" ht="15.75" customHeight="1" s="156">
      <c r="A74" s="189" t="inlineStr">
        <is>
          <t>May 2026</t>
        </is>
      </c>
      <c r="B74" s="189" t="inlineStr">
        <is>
          <t>Other</t>
        </is>
      </c>
      <c r="C74" s="189" t="inlineStr">
        <is>
          <t>Preperation for Session on Primary and Secondary transfer of securities and SOPs of Abusive calls</t>
        </is>
      </c>
      <c r="D74" s="189" t="inlineStr">
        <is>
          <t>2026-05-19</t>
        </is>
      </c>
      <c r="E74" s="189" t="inlineStr">
        <is>
          <t>—</t>
        </is>
      </c>
      <c r="F74" s="189" t="inlineStr">
        <is>
          <t>Harish Bhat</t>
        </is>
      </c>
      <c r="G74" s="189" t="inlineStr">
        <is>
          <t>Online</t>
        </is>
      </c>
      <c r="H74" s="189" t="inlineStr">
        <is>
          <t>Preperation for Session on Primary and Secondary transfer of securities and SOPs of Abusive calls</t>
        </is>
      </c>
      <c r="I74" s="190" t="n">
        <v>6</v>
      </c>
    </row>
    <row r="75" ht="15.75" customHeight="1" s="156">
      <c r="A75" s="189" t="inlineStr">
        <is>
          <t>May 2026</t>
        </is>
      </c>
      <c r="B75" s="189" t="inlineStr">
        <is>
          <t>Other</t>
        </is>
      </c>
      <c r="C75" s="189" t="inlineStr">
        <is>
          <t>Varsity script work</t>
        </is>
      </c>
      <c r="D75" s="189" t="inlineStr">
        <is>
          <t>2026-05-13</t>
        </is>
      </c>
      <c r="E75" s="189" t="inlineStr">
        <is>
          <t>—</t>
        </is>
      </c>
      <c r="F75" s="189" t="inlineStr">
        <is>
          <t>Harish Bhat</t>
        </is>
      </c>
      <c r="G75" s="189" t="inlineStr">
        <is>
          <t>Online</t>
        </is>
      </c>
      <c r="H75" s="189" t="inlineStr">
        <is>
          <t>Varsity script work</t>
        </is>
      </c>
      <c r="I75" s="190" t="n">
        <v>2</v>
      </c>
    </row>
    <row r="76" ht="15.75" customHeight="1" s="156">
      <c r="A76" s="189" t="inlineStr">
        <is>
          <t>May 2026</t>
        </is>
      </c>
      <c r="B76" s="189" t="inlineStr">
        <is>
          <t>Other</t>
        </is>
      </c>
      <c r="C76" s="189" t="inlineStr">
        <is>
          <t>Varsity script work</t>
        </is>
      </c>
      <c r="D76" s="189" t="inlineStr">
        <is>
          <t>2026-05-11</t>
        </is>
      </c>
      <c r="E76" s="189" t="inlineStr">
        <is>
          <t>—</t>
        </is>
      </c>
      <c r="F76" s="189" t="inlineStr">
        <is>
          <t>Harish Bhat</t>
        </is>
      </c>
      <c r="G76" s="189" t="inlineStr">
        <is>
          <t>Online</t>
        </is>
      </c>
      <c r="H76" s="189" t="inlineStr">
        <is>
          <t>Varsity script work</t>
        </is>
      </c>
      <c r="I76" s="190" t="n">
        <v>2</v>
      </c>
    </row>
    <row r="77" ht="15.75" customHeight="1" s="156">
      <c r="A77" s="191" t="inlineStr">
        <is>
          <t>May 2026</t>
        </is>
      </c>
      <c r="B77" s="191" t="inlineStr">
        <is>
          <t>Assessment</t>
        </is>
      </c>
      <c r="C77" s="191" t="inlineStr">
        <is>
          <t>Communicate 360- Anish's team · proctoring</t>
        </is>
      </c>
      <c r="D77" s="191" t="inlineStr">
        <is>
          <t>2026-05-11</t>
        </is>
      </c>
      <c r="E77" s="191" t="inlineStr">
        <is>
          <t>—</t>
        </is>
      </c>
      <c r="F77" s="191" t="inlineStr">
        <is>
          <t>Harish Bhat</t>
        </is>
      </c>
      <c r="G77" s="191" t="inlineStr">
        <is>
          <t>Offline</t>
        </is>
      </c>
      <c r="H77" s="191" t="inlineStr">
        <is>
          <t>Communicate 360- Anish's team · proctoring</t>
        </is>
      </c>
      <c r="I77" s="192" t="n">
        <v>2</v>
      </c>
    </row>
    <row r="78" ht="15.75" customHeight="1" s="156">
      <c r="A78" s="191" t="inlineStr">
        <is>
          <t>May 2026</t>
        </is>
      </c>
      <c r="B78" s="191" t="inlineStr">
        <is>
          <t>Assessment</t>
        </is>
      </c>
      <c r="C78" s="191" t="inlineStr">
        <is>
          <t>Communicate 360- Anish's team · proctoring</t>
        </is>
      </c>
      <c r="D78" s="191" t="inlineStr">
        <is>
          <t>2026-05-12</t>
        </is>
      </c>
      <c r="E78" s="191" t="inlineStr">
        <is>
          <t>—</t>
        </is>
      </c>
      <c r="F78" s="191" t="inlineStr">
        <is>
          <t>Harish Bhat</t>
        </is>
      </c>
      <c r="G78" s="191" t="inlineStr">
        <is>
          <t>Offline</t>
        </is>
      </c>
      <c r="H78" s="191" t="inlineStr">
        <is>
          <t>Communicate 360- Anish's team · proctoring</t>
        </is>
      </c>
      <c r="I78" s="192" t="n">
        <v>1</v>
      </c>
    </row>
    <row r="79" ht="15.75" customHeight="1" s="156">
      <c r="A79" s="191" t="inlineStr">
        <is>
          <t>May 2026</t>
        </is>
      </c>
      <c r="B79" s="191" t="inlineStr">
        <is>
          <t>Support Training</t>
        </is>
      </c>
      <c r="C79" s="191" t="inlineStr">
        <is>
          <t>Communicate 360- Anish's team · proctoring  &amp; mockcall</t>
        </is>
      </c>
      <c r="D79" s="191" t="inlineStr">
        <is>
          <t>2026-05-14</t>
        </is>
      </c>
      <c r="E79" s="191" t="inlineStr">
        <is>
          <t>—</t>
        </is>
      </c>
      <c r="F79" s="191" t="inlineStr">
        <is>
          <t>Harish Bhat</t>
        </is>
      </c>
      <c r="G79" s="191" t="inlineStr">
        <is>
          <t>Offline</t>
        </is>
      </c>
      <c r="H79" s="191" t="inlineStr">
        <is>
          <t>Communicate 360- Anish's team · proctoring  &amp; mockcall</t>
        </is>
      </c>
      <c r="I79" s="192" t="n">
        <v>4</v>
      </c>
    </row>
    <row r="80" ht="15.75" customHeight="1" s="156">
      <c r="A80" s="191" t="inlineStr">
        <is>
          <t>May 2026</t>
        </is>
      </c>
      <c r="B80" s="191" t="inlineStr">
        <is>
          <t>Other</t>
        </is>
      </c>
      <c r="C80" s="191" t="inlineStr">
        <is>
          <t>QOD Preperation</t>
        </is>
      </c>
      <c r="D80" s="191" t="inlineStr">
        <is>
          <t>2026-05-27</t>
        </is>
      </c>
      <c r="E80" s="191" t="inlineStr">
        <is>
          <t>—</t>
        </is>
      </c>
      <c r="F80" s="191" t="inlineStr">
        <is>
          <t>Harish Bhat</t>
        </is>
      </c>
      <c r="G80" s="191" t="inlineStr">
        <is>
          <t>Offline</t>
        </is>
      </c>
      <c r="H80" s="191" t="inlineStr">
        <is>
          <t>QOD Preperation</t>
        </is>
      </c>
      <c r="I80" s="192" t="n">
        <v>0.5</v>
      </c>
    </row>
    <row r="81" ht="15.75" customHeight="1" s="156">
      <c r="A81" s="189" t="inlineStr">
        <is>
          <t>May 2026</t>
        </is>
      </c>
      <c r="B81" s="189" t="inlineStr">
        <is>
          <t>Other</t>
        </is>
      </c>
      <c r="C81" s="189" t="inlineStr">
        <is>
          <t>varsity tickets</t>
        </is>
      </c>
      <c r="D81" s="189" t="inlineStr">
        <is>
          <t>2026-05-04</t>
        </is>
      </c>
      <c r="E81" s="189" t="inlineStr">
        <is>
          <t>—</t>
        </is>
      </c>
      <c r="F81" s="189" t="inlineStr">
        <is>
          <t>Harish Bhat</t>
        </is>
      </c>
      <c r="G81" s="189" t="inlineStr">
        <is>
          <t>Online</t>
        </is>
      </c>
      <c r="H81" s="189" t="inlineStr">
        <is>
          <t>varsity tickets</t>
        </is>
      </c>
      <c r="I81" s="190" t="n">
        <v>0.25</v>
      </c>
    </row>
    <row r="82" ht="15.75" customHeight="1" s="156">
      <c r="A82" s="189" t="inlineStr">
        <is>
          <t>May 2026</t>
        </is>
      </c>
      <c r="B82" s="189" t="inlineStr">
        <is>
          <t>Other</t>
        </is>
      </c>
      <c r="C82" s="189" t="inlineStr">
        <is>
          <t>varsity tickets</t>
        </is>
      </c>
      <c r="D82" s="189" t="inlineStr">
        <is>
          <t>2026-05-05</t>
        </is>
      </c>
      <c r="E82" s="189" t="inlineStr">
        <is>
          <t>—</t>
        </is>
      </c>
      <c r="F82" s="189" t="inlineStr">
        <is>
          <t>Harish Bhat</t>
        </is>
      </c>
      <c r="G82" s="189" t="inlineStr">
        <is>
          <t>Online</t>
        </is>
      </c>
      <c r="H82" s="189" t="inlineStr">
        <is>
          <t>varsity tickets</t>
        </is>
      </c>
      <c r="I82" s="190" t="n">
        <v>0.25</v>
      </c>
    </row>
    <row r="83" ht="15.75" customHeight="1" s="156">
      <c r="A83" s="189" t="inlineStr">
        <is>
          <t>May 2026</t>
        </is>
      </c>
      <c r="B83" s="189" t="inlineStr">
        <is>
          <t>Other</t>
        </is>
      </c>
      <c r="C83" s="189" t="inlineStr">
        <is>
          <t>varsity tickets</t>
        </is>
      </c>
      <c r="D83" s="189" t="inlineStr">
        <is>
          <t>2026-05-06</t>
        </is>
      </c>
      <c r="E83" s="189" t="inlineStr">
        <is>
          <t>—</t>
        </is>
      </c>
      <c r="F83" s="189" t="inlineStr">
        <is>
          <t>Harish Bhat</t>
        </is>
      </c>
      <c r="G83" s="189" t="inlineStr">
        <is>
          <t>Online</t>
        </is>
      </c>
      <c r="H83" s="189" t="inlineStr">
        <is>
          <t>varsity tickets</t>
        </is>
      </c>
      <c r="I83" s="190" t="n">
        <v>0.25</v>
      </c>
    </row>
    <row r="84" ht="15.75" customHeight="1" s="156">
      <c r="A84" s="191" t="inlineStr">
        <is>
          <t>May 2026</t>
        </is>
      </c>
      <c r="B84" s="191" t="inlineStr">
        <is>
          <t>Support Training</t>
        </is>
      </c>
      <c r="C84" s="191" t="inlineStr">
        <is>
          <t>Communicate 360- Anish's team · proctoring</t>
        </is>
      </c>
      <c r="D84" s="191" t="inlineStr">
        <is>
          <t>2026-05-04</t>
        </is>
      </c>
      <c r="E84" s="191" t="inlineStr">
        <is>
          <t>—</t>
        </is>
      </c>
      <c r="F84" s="191" t="inlineStr">
        <is>
          <t>Harish Bhat</t>
        </is>
      </c>
      <c r="G84" s="191" t="inlineStr">
        <is>
          <t>Offline</t>
        </is>
      </c>
      <c r="H84" s="191" t="inlineStr">
        <is>
          <t>Communicate 360- Anish's team · proctoring</t>
        </is>
      </c>
      <c r="I84" s="192" t="n">
        <v>3</v>
      </c>
    </row>
    <row r="85" ht="15.75" customHeight="1" s="156">
      <c r="A85" s="191" t="inlineStr">
        <is>
          <t>May 2026</t>
        </is>
      </c>
      <c r="B85" s="191" t="inlineStr">
        <is>
          <t>Support Training</t>
        </is>
      </c>
      <c r="C85" s="191" t="inlineStr">
        <is>
          <t>Communicate 360- Anish's team</t>
        </is>
      </c>
      <c r="D85" s="191" t="inlineStr">
        <is>
          <t>2026-05-05</t>
        </is>
      </c>
      <c r="E85" s="191" t="inlineStr">
        <is>
          <t>—</t>
        </is>
      </c>
      <c r="F85" s="191" t="inlineStr">
        <is>
          <t>Harish Bhat</t>
        </is>
      </c>
      <c r="G85" s="191" t="inlineStr">
        <is>
          <t>Offline</t>
        </is>
      </c>
      <c r="H85" s="191" t="inlineStr">
        <is>
          <t>Communicate 360- Anish's team</t>
        </is>
      </c>
      <c r="I85" s="192" t="n">
        <v>3</v>
      </c>
    </row>
    <row r="86" ht="15.75" customHeight="1" s="156">
      <c r="A86" s="191" t="inlineStr">
        <is>
          <t>May 2026</t>
        </is>
      </c>
      <c r="B86" s="191" t="inlineStr">
        <is>
          <t>Support Training</t>
        </is>
      </c>
      <c r="C86" s="191" t="inlineStr">
        <is>
          <t>Communicate 360- Anish's team proctoring</t>
        </is>
      </c>
      <c r="D86" s="191" t="inlineStr">
        <is>
          <t>2026-05-06</t>
        </is>
      </c>
      <c r="E86" s="191" t="inlineStr">
        <is>
          <t>—</t>
        </is>
      </c>
      <c r="F86" s="191" t="inlineStr">
        <is>
          <t>Harish Bhat</t>
        </is>
      </c>
      <c r="G86" s="191" t="inlineStr">
        <is>
          <t>Offline</t>
        </is>
      </c>
      <c r="H86" s="191" t="inlineStr">
        <is>
          <t>Communicate 360- Anish's team proctoring</t>
        </is>
      </c>
      <c r="I86" s="192" t="n">
        <v>2</v>
      </c>
    </row>
    <row r="87" ht="15.75" customHeight="1" s="156">
      <c r="A87" s="189" t="inlineStr">
        <is>
          <t>May 2026</t>
        </is>
      </c>
      <c r="B87" s="189" t="inlineStr">
        <is>
          <t>Assessment</t>
        </is>
      </c>
      <c r="C87" s="189" t="inlineStr">
        <is>
          <t>Review on Pick &amp; Speak &amp; mockcall</t>
        </is>
      </c>
      <c r="D87" s="189" t="inlineStr">
        <is>
          <t>2026-05-08</t>
        </is>
      </c>
      <c r="E87" s="189" t="inlineStr">
        <is>
          <t>—</t>
        </is>
      </c>
      <c r="F87" s="189" t="inlineStr">
        <is>
          <t>Harish Bhat</t>
        </is>
      </c>
      <c r="G87" s="189" t="inlineStr">
        <is>
          <t>Online</t>
        </is>
      </c>
      <c r="H87" s="189" t="inlineStr">
        <is>
          <t>Review on Pick &amp; Speak &amp; mockcall</t>
        </is>
      </c>
      <c r="I87" s="190" t="n">
        <v>4</v>
      </c>
    </row>
    <row r="88" ht="15.75" customHeight="1" s="156">
      <c r="A88" s="191" t="inlineStr">
        <is>
          <t>May 2026</t>
        </is>
      </c>
      <c r="B88" s="191" t="inlineStr">
        <is>
          <t>Assessment</t>
        </is>
      </c>
      <c r="C88" s="191" t="inlineStr">
        <is>
          <t>Communicate 360- Anish's team · proctoring</t>
        </is>
      </c>
      <c r="D88" s="191" t="inlineStr">
        <is>
          <t>2026-05-11</t>
        </is>
      </c>
      <c r="E88" s="191" t="inlineStr">
        <is>
          <t>—</t>
        </is>
      </c>
      <c r="F88" s="191" t="inlineStr">
        <is>
          <t>Harish Bhat</t>
        </is>
      </c>
      <c r="G88" s="191" t="inlineStr">
        <is>
          <t>Offline</t>
        </is>
      </c>
      <c r="H88" s="191" t="inlineStr">
        <is>
          <t>Communicate 360- Anish's team · proctoring</t>
        </is>
      </c>
      <c r="I88" s="192" t="n">
        <v>3</v>
      </c>
    </row>
    <row r="89" ht="15.75" customHeight="1" s="156">
      <c r="A89" s="191" t="inlineStr">
        <is>
          <t>May 2026</t>
        </is>
      </c>
      <c r="B89" s="191" t="inlineStr">
        <is>
          <t>Assessment</t>
        </is>
      </c>
      <c r="C89" s="191" t="inlineStr">
        <is>
          <t>Communicate 360- Anish's team · proctoring</t>
        </is>
      </c>
      <c r="D89" s="191" t="inlineStr">
        <is>
          <t>2026-05-12</t>
        </is>
      </c>
      <c r="E89" s="191" t="inlineStr">
        <is>
          <t>—</t>
        </is>
      </c>
      <c r="F89" s="191" t="inlineStr">
        <is>
          <t>Harish Bhat</t>
        </is>
      </c>
      <c r="G89" s="191" t="inlineStr">
        <is>
          <t>Offline</t>
        </is>
      </c>
      <c r="H89" s="191" t="inlineStr">
        <is>
          <t>Communicate 360- Anish's team · proctoring</t>
        </is>
      </c>
      <c r="I89" s="192" t="n">
        <v>1.5</v>
      </c>
    </row>
    <row r="90" ht="15.75" customHeight="1" s="156">
      <c r="A90" s="191" t="inlineStr">
        <is>
          <t>May 2026</t>
        </is>
      </c>
      <c r="B90" s="191" t="inlineStr">
        <is>
          <t>Assessment</t>
        </is>
      </c>
      <c r="C90" s="191" t="inlineStr">
        <is>
          <t>Communicate 360- Anish's team · proctoring</t>
        </is>
      </c>
      <c r="D90" s="191" t="inlineStr">
        <is>
          <t>2026-05-13</t>
        </is>
      </c>
      <c r="E90" s="191" t="inlineStr">
        <is>
          <t>—</t>
        </is>
      </c>
      <c r="F90" s="191" t="inlineStr">
        <is>
          <t>Harish Bhat</t>
        </is>
      </c>
      <c r="G90" s="191" t="inlineStr">
        <is>
          <t>Offline</t>
        </is>
      </c>
      <c r="H90" s="191" t="inlineStr">
        <is>
          <t>Communicate 360- Anish's team · proctoring</t>
        </is>
      </c>
      <c r="I90" s="192" t="n">
        <v>3</v>
      </c>
    </row>
    <row r="91" ht="15.75" customHeight="1" s="156">
      <c r="A91" s="191" t="inlineStr">
        <is>
          <t>May 2026</t>
        </is>
      </c>
      <c r="B91" s="191" t="inlineStr">
        <is>
          <t>Assessment</t>
        </is>
      </c>
      <c r="C91" s="191" t="inlineStr">
        <is>
          <t>Communicate 360- Anish's team · proctoring</t>
        </is>
      </c>
      <c r="D91" s="191" t="inlineStr">
        <is>
          <t>2026-05-14</t>
        </is>
      </c>
      <c r="E91" s="191" t="inlineStr">
        <is>
          <t>—</t>
        </is>
      </c>
      <c r="F91" s="191" t="inlineStr">
        <is>
          <t>Harish Bhat</t>
        </is>
      </c>
      <c r="G91" s="191" t="inlineStr">
        <is>
          <t>Offline</t>
        </is>
      </c>
      <c r="H91" s="191" t="inlineStr">
        <is>
          <t>Communicate 360- Anish's team · proctoring</t>
        </is>
      </c>
      <c r="I91" s="192" t="n">
        <v>3</v>
      </c>
    </row>
    <row r="92" ht="15.75" customHeight="1" s="156">
      <c r="A92" s="189" t="inlineStr">
        <is>
          <t>May 2026</t>
        </is>
      </c>
      <c r="B92" s="189" t="inlineStr">
        <is>
          <t>Other</t>
        </is>
      </c>
      <c r="C92" s="189" t="inlineStr">
        <is>
          <t>varsity tickets</t>
        </is>
      </c>
      <c r="D92" s="189" t="inlineStr">
        <is>
          <t>2026-05-07</t>
        </is>
      </c>
      <c r="E92" s="189" t="inlineStr">
        <is>
          <t>—</t>
        </is>
      </c>
      <c r="F92" s="189" t="inlineStr">
        <is>
          <t>Harish Bhat</t>
        </is>
      </c>
      <c r="G92" s="189" t="inlineStr">
        <is>
          <t>Online</t>
        </is>
      </c>
      <c r="H92" s="189" t="inlineStr">
        <is>
          <t>varsity tickets</t>
        </is>
      </c>
      <c r="I92" s="190" t="n">
        <v>0.25</v>
      </c>
    </row>
    <row r="93" ht="15.75" customHeight="1" s="156">
      <c r="A93" s="189" t="inlineStr">
        <is>
          <t>May 2026</t>
        </is>
      </c>
      <c r="B93" s="189" t="inlineStr">
        <is>
          <t>Other</t>
        </is>
      </c>
      <c r="C93" s="189" t="inlineStr">
        <is>
          <t>varsity tickets</t>
        </is>
      </c>
      <c r="D93" s="189" t="inlineStr">
        <is>
          <t>2026-05-08</t>
        </is>
      </c>
      <c r="E93" s="189" t="inlineStr">
        <is>
          <t>—</t>
        </is>
      </c>
      <c r="F93" s="189" t="inlineStr">
        <is>
          <t>Harish Bhat</t>
        </is>
      </c>
      <c r="G93" s="189" t="inlineStr">
        <is>
          <t>Online</t>
        </is>
      </c>
      <c r="H93" s="189" t="inlineStr">
        <is>
          <t>varsity tickets</t>
        </is>
      </c>
      <c r="I93" s="190" t="n">
        <v>0.25</v>
      </c>
    </row>
    <row r="94" ht="15.75" customHeight="1" s="156">
      <c r="A94" s="189" t="inlineStr">
        <is>
          <t>May 2026</t>
        </is>
      </c>
      <c r="B94" s="189" t="inlineStr">
        <is>
          <t>Other</t>
        </is>
      </c>
      <c r="C94" s="189" t="inlineStr">
        <is>
          <t>varsity tickets</t>
        </is>
      </c>
      <c r="D94" s="189" t="inlineStr">
        <is>
          <t>2026-05-11</t>
        </is>
      </c>
      <c r="E94" s="189" t="inlineStr">
        <is>
          <t>—</t>
        </is>
      </c>
      <c r="F94" s="189" t="inlineStr">
        <is>
          <t>Harish Bhat</t>
        </is>
      </c>
      <c r="G94" s="189" t="inlineStr">
        <is>
          <t>Online</t>
        </is>
      </c>
      <c r="H94" s="189" t="inlineStr">
        <is>
          <t>varsity tickets</t>
        </is>
      </c>
      <c r="I94" s="190" t="n">
        <v>0.25</v>
      </c>
    </row>
    <row r="95" ht="15.75" customHeight="1" s="156">
      <c r="A95" s="189" t="inlineStr">
        <is>
          <t>May 2026</t>
        </is>
      </c>
      <c r="B95" s="189" t="inlineStr">
        <is>
          <t>Other</t>
        </is>
      </c>
      <c r="C95" s="189" t="inlineStr">
        <is>
          <t>varsity tickets</t>
        </is>
      </c>
      <c r="D95" s="189" t="inlineStr">
        <is>
          <t>2026-05-12</t>
        </is>
      </c>
      <c r="E95" s="189" t="inlineStr">
        <is>
          <t>—</t>
        </is>
      </c>
      <c r="F95" s="189" t="inlineStr">
        <is>
          <t>Harish Bhat</t>
        </is>
      </c>
      <c r="G95" s="189" t="inlineStr">
        <is>
          <t>Online</t>
        </is>
      </c>
      <c r="H95" s="189" t="inlineStr">
        <is>
          <t>varsity tickets</t>
        </is>
      </c>
      <c r="I95" s="190" t="n">
        <v>0.25</v>
      </c>
    </row>
    <row r="96" ht="15.75" customHeight="1" s="156">
      <c r="A96" s="189" t="inlineStr">
        <is>
          <t>May 2026</t>
        </is>
      </c>
      <c r="B96" s="189" t="inlineStr">
        <is>
          <t>Other</t>
        </is>
      </c>
      <c r="C96" s="189" t="inlineStr">
        <is>
          <t>varsity tickets</t>
        </is>
      </c>
      <c r="D96" s="189" t="inlineStr">
        <is>
          <t>2026-05-13</t>
        </is>
      </c>
      <c r="E96" s="189" t="inlineStr">
        <is>
          <t>—</t>
        </is>
      </c>
      <c r="F96" s="189" t="inlineStr">
        <is>
          <t>Harish Bhat</t>
        </is>
      </c>
      <c r="G96" s="189" t="inlineStr">
        <is>
          <t>Online</t>
        </is>
      </c>
      <c r="H96" s="189" t="inlineStr">
        <is>
          <t>varsity tickets</t>
        </is>
      </c>
      <c r="I96" s="190" t="n">
        <v>0.25</v>
      </c>
    </row>
    <row r="97" ht="15.75" customHeight="1" s="156">
      <c r="A97" s="189" t="inlineStr">
        <is>
          <t>May 2026</t>
        </is>
      </c>
      <c r="B97" s="189" t="inlineStr">
        <is>
          <t>Other</t>
        </is>
      </c>
      <c r="C97" s="189" t="inlineStr">
        <is>
          <t>varsity tickets</t>
        </is>
      </c>
      <c r="D97" s="189" t="inlineStr">
        <is>
          <t>2026-05-14</t>
        </is>
      </c>
      <c r="E97" s="189" t="inlineStr">
        <is>
          <t>—</t>
        </is>
      </c>
      <c r="F97" s="189" t="inlineStr">
        <is>
          <t>Harish Bhat</t>
        </is>
      </c>
      <c r="G97" s="189" t="inlineStr">
        <is>
          <t>Online</t>
        </is>
      </c>
      <c r="H97" s="189" t="inlineStr">
        <is>
          <t>varsity tickets</t>
        </is>
      </c>
      <c r="I97" s="190" t="n">
        <v>0.25</v>
      </c>
    </row>
    <row r="98" ht="15.75" customHeight="1" s="156">
      <c r="A98" s="189" t="inlineStr">
        <is>
          <t>May 2026</t>
        </is>
      </c>
      <c r="B98" s="189" t="inlineStr">
        <is>
          <t>Support Training</t>
        </is>
      </c>
      <c r="C98" s="189" t="inlineStr">
        <is>
          <t>varsity tickets</t>
        </is>
      </c>
      <c r="D98" s="189" t="inlineStr">
        <is>
          <t>2026-05-15</t>
        </is>
      </c>
      <c r="E98" s="189" t="inlineStr">
        <is>
          <t>—</t>
        </is>
      </c>
      <c r="F98" s="189" t="inlineStr">
        <is>
          <t>Harish Bhat</t>
        </is>
      </c>
      <c r="G98" s="189" t="inlineStr">
        <is>
          <t>Online</t>
        </is>
      </c>
      <c r="H98" s="189" t="inlineStr">
        <is>
          <t>varsity tickets</t>
        </is>
      </c>
      <c r="I98" s="190" t="n">
        <v>0.25</v>
      </c>
    </row>
    <row r="99" ht="15.75" customHeight="1" s="156">
      <c r="A99" s="191" t="inlineStr">
        <is>
          <t>May 2026</t>
        </is>
      </c>
      <c r="B99" s="191" t="inlineStr">
        <is>
          <t>Other</t>
        </is>
      </c>
      <c r="C99" s="191" t="inlineStr">
        <is>
          <t>varsity tickets</t>
        </is>
      </c>
      <c r="D99" s="191" t="inlineStr">
        <is>
          <t>2026-05-18</t>
        </is>
      </c>
      <c r="E99" s="191" t="inlineStr">
        <is>
          <t>—</t>
        </is>
      </c>
      <c r="F99" s="191" t="inlineStr">
        <is>
          <t>Harish Bhat</t>
        </is>
      </c>
      <c r="G99" s="191" t="inlineStr">
        <is>
          <t>Offline</t>
        </is>
      </c>
      <c r="H99" s="191" t="inlineStr">
        <is>
          <t>varsity tickets</t>
        </is>
      </c>
      <c r="I99" s="192" t="n">
        <v>0.25</v>
      </c>
    </row>
    <row r="100" ht="15.75" customHeight="1" s="156">
      <c r="A100" s="189" t="inlineStr">
        <is>
          <t>May 2026</t>
        </is>
      </c>
      <c r="B100" s="189" t="inlineStr">
        <is>
          <t>Other</t>
        </is>
      </c>
      <c r="C100" s="189" t="inlineStr">
        <is>
          <t>varsity tickets</t>
        </is>
      </c>
      <c r="D100" s="189" t="inlineStr">
        <is>
          <t>2026-05-19</t>
        </is>
      </c>
      <c r="E100" s="189" t="inlineStr">
        <is>
          <t>—</t>
        </is>
      </c>
      <c r="F100" s="189" t="inlineStr">
        <is>
          <t>Harish Bhat</t>
        </is>
      </c>
      <c r="G100" s="189" t="inlineStr">
        <is>
          <t>Online</t>
        </is>
      </c>
      <c r="H100" s="189" t="inlineStr">
        <is>
          <t>varsity tickets</t>
        </is>
      </c>
      <c r="I100" s="190" t="n">
        <v>0.25</v>
      </c>
    </row>
    <row r="101" ht="15.75" customHeight="1" s="156">
      <c r="A101" s="189" t="inlineStr">
        <is>
          <t>May 2026</t>
        </is>
      </c>
      <c r="B101" s="189" t="inlineStr">
        <is>
          <t>Other</t>
        </is>
      </c>
      <c r="C101" s="189" t="inlineStr">
        <is>
          <t>varsity tickets</t>
        </is>
      </c>
      <c r="D101" s="189" t="inlineStr">
        <is>
          <t>2026-05-20</t>
        </is>
      </c>
      <c r="E101" s="189" t="inlineStr">
        <is>
          <t>—</t>
        </is>
      </c>
      <c r="F101" s="189" t="inlineStr">
        <is>
          <t>Harish Bhat</t>
        </is>
      </c>
      <c r="G101" s="189" t="inlineStr">
        <is>
          <t>Online</t>
        </is>
      </c>
      <c r="H101" s="189" t="inlineStr">
        <is>
          <t>varsity tickets</t>
        </is>
      </c>
      <c r="I101" s="190" t="n">
        <v>0.25</v>
      </c>
    </row>
    <row r="102" ht="15.75" customHeight="1" s="156">
      <c r="A102" s="189" t="inlineStr">
        <is>
          <t>May 2026</t>
        </is>
      </c>
      <c r="B102" s="189" t="inlineStr">
        <is>
          <t>Other</t>
        </is>
      </c>
      <c r="C102" s="189" t="inlineStr">
        <is>
          <t>varsity tickets</t>
        </is>
      </c>
      <c r="D102" s="189" t="inlineStr">
        <is>
          <t>2026-05-21</t>
        </is>
      </c>
      <c r="E102" s="189" t="inlineStr">
        <is>
          <t>—</t>
        </is>
      </c>
      <c r="F102" s="189" t="inlineStr">
        <is>
          <t>Harish Bhat</t>
        </is>
      </c>
      <c r="G102" s="189" t="inlineStr">
        <is>
          <t>Online</t>
        </is>
      </c>
      <c r="H102" s="189" t="inlineStr">
        <is>
          <t>varsity tickets</t>
        </is>
      </c>
      <c r="I102" s="190" t="n">
        <v>0.25</v>
      </c>
    </row>
    <row r="103" ht="15.75" customHeight="1" s="156">
      <c r="A103" s="189" t="inlineStr">
        <is>
          <t>May 2026</t>
        </is>
      </c>
      <c r="B103" s="189" t="inlineStr">
        <is>
          <t>Other</t>
        </is>
      </c>
      <c r="C103" s="189" t="inlineStr">
        <is>
          <t>varsity tickets</t>
        </is>
      </c>
      <c r="D103" s="189" t="inlineStr">
        <is>
          <t>2026-05-22</t>
        </is>
      </c>
      <c r="E103" s="189" t="inlineStr">
        <is>
          <t>—</t>
        </is>
      </c>
      <c r="F103" s="189" t="inlineStr">
        <is>
          <t>Harish Bhat</t>
        </is>
      </c>
      <c r="G103" s="189" t="inlineStr">
        <is>
          <t>Online</t>
        </is>
      </c>
      <c r="H103" s="189" t="inlineStr">
        <is>
          <t>varsity tickets</t>
        </is>
      </c>
      <c r="I103" s="190" t="n">
        <v>0.25</v>
      </c>
    </row>
    <row r="104" ht="15.75" customHeight="1" s="156">
      <c r="A104" s="189" t="inlineStr">
        <is>
          <t>May 2026</t>
        </is>
      </c>
      <c r="B104" s="189" t="inlineStr">
        <is>
          <t>Other</t>
        </is>
      </c>
      <c r="C104" s="189" t="inlineStr">
        <is>
          <t>varsity tickets</t>
        </is>
      </c>
      <c r="D104" s="189" t="inlineStr">
        <is>
          <t>2026-05-27</t>
        </is>
      </c>
      <c r="E104" s="189" t="inlineStr">
        <is>
          <t>—</t>
        </is>
      </c>
      <c r="F104" s="189" t="inlineStr">
        <is>
          <t>Harish Bhat</t>
        </is>
      </c>
      <c r="G104" s="189" t="inlineStr">
        <is>
          <t>Online</t>
        </is>
      </c>
      <c r="H104" s="189" t="inlineStr">
        <is>
          <t>varsity tickets</t>
        </is>
      </c>
      <c r="I104" s="190" t="n">
        <v>0.25</v>
      </c>
    </row>
    <row r="105" ht="15.75" customHeight="1" s="156">
      <c r="A105" s="189" t="inlineStr">
        <is>
          <t>May 2026</t>
        </is>
      </c>
      <c r="B105" s="189" t="inlineStr">
        <is>
          <t>Assessment</t>
        </is>
      </c>
      <c r="C105" s="189" t="inlineStr">
        <is>
          <t>Review on  mockcall</t>
        </is>
      </c>
      <c r="D105" s="189" t="inlineStr">
        <is>
          <t>2026-05-11</t>
        </is>
      </c>
      <c r="E105" s="189" t="inlineStr">
        <is>
          <t>—</t>
        </is>
      </c>
      <c r="F105" s="189" t="inlineStr">
        <is>
          <t>Harish Bhat</t>
        </is>
      </c>
      <c r="G105" s="189" t="inlineStr">
        <is>
          <t>Online</t>
        </is>
      </c>
      <c r="H105" s="189" t="inlineStr">
        <is>
          <t>Review on  mockcall</t>
        </is>
      </c>
      <c r="I105" s="190" t="n">
        <v>3</v>
      </c>
    </row>
    <row r="106" ht="15.75" customHeight="1" s="156">
      <c r="A106" s="189" t="inlineStr">
        <is>
          <t>May 2026</t>
        </is>
      </c>
      <c r="B106" s="189" t="inlineStr">
        <is>
          <t>Support Training</t>
        </is>
      </c>
      <c r="C106" s="189" t="inlineStr">
        <is>
          <t>Review on mockcall ·  Harish</t>
        </is>
      </c>
      <c r="D106" s="189" t="inlineStr">
        <is>
          <t>2026-05-14</t>
        </is>
      </c>
      <c r="E106" s="189" t="inlineStr">
        <is>
          <t>—</t>
        </is>
      </c>
      <c r="F106" s="189" t="inlineStr">
        <is>
          <t>Harish Bhat</t>
        </is>
      </c>
      <c r="G106" s="189" t="inlineStr">
        <is>
          <t>Online</t>
        </is>
      </c>
      <c r="H106" s="189" t="inlineStr">
        <is>
          <t>Review on mockcall ·  Harish</t>
        </is>
      </c>
      <c r="I106" s="190" t="n">
        <v>2</v>
      </c>
    </row>
    <row r="107" ht="15.75" customHeight="1" s="156">
      <c r="A107" s="189" t="inlineStr">
        <is>
          <t>May 2026</t>
        </is>
      </c>
      <c r="B107" s="189" t="inlineStr">
        <is>
          <t>Other</t>
        </is>
      </c>
      <c r="C107" s="189" t="inlineStr">
        <is>
          <t>Preperation for Session on Primary and Secondary transfer of securities and SOPs of Abusive calls</t>
        </is>
      </c>
      <c r="D107" s="189" t="inlineStr">
        <is>
          <t>2026-05-18</t>
        </is>
      </c>
      <c r="E107" s="189" t="inlineStr">
        <is>
          <t>—</t>
        </is>
      </c>
      <c r="F107" s="189" t="inlineStr">
        <is>
          <t>Harish Bhat</t>
        </is>
      </c>
      <c r="G107" s="189" t="inlineStr">
        <is>
          <t>Online</t>
        </is>
      </c>
      <c r="H107" s="189" t="inlineStr">
        <is>
          <t>Preperation for Session on Primary and Secondary transfer of securities and SOPs of Abusive calls</t>
        </is>
      </c>
      <c r="I107" s="190" t="n">
        <v>4</v>
      </c>
    </row>
    <row r="108" ht="15.75" customHeight="1" s="156">
      <c r="A108" s="189" t="inlineStr">
        <is>
          <t>May 2026</t>
        </is>
      </c>
      <c r="B108" s="189" t="inlineStr">
        <is>
          <t>Other</t>
        </is>
      </c>
      <c r="C108" s="189" t="inlineStr">
        <is>
          <t>lms tool testing</t>
        </is>
      </c>
      <c r="D108" s="189" t="inlineStr">
        <is>
          <t>2026-05-27</t>
        </is>
      </c>
      <c r="E108" s="189" t="inlineStr">
        <is>
          <t>—</t>
        </is>
      </c>
      <c r="F108" s="189" t="inlineStr">
        <is>
          <t>Harish Bhat</t>
        </is>
      </c>
      <c r="G108" s="189" t="inlineStr">
        <is>
          <t>Online</t>
        </is>
      </c>
      <c r="H108" s="189" t="inlineStr">
        <is>
          <t>lms tool testing</t>
        </is>
      </c>
      <c r="I108" s="190" t="n">
        <v>5</v>
      </c>
    </row>
    <row r="109" ht="15.75" customHeight="1" s="156">
      <c r="A109" s="191" t="inlineStr">
        <is>
          <t>May 2026</t>
        </is>
      </c>
      <c r="B109" s="191" t="inlineStr">
        <is>
          <t>Other</t>
        </is>
      </c>
      <c r="C109" s="191" t="inlineStr">
        <is>
          <t>Managers training discussion &amp; PPT</t>
        </is>
      </c>
      <c r="D109" s="191" t="inlineStr">
        <is>
          <t>2026-05-13</t>
        </is>
      </c>
      <c r="E109" s="191" t="inlineStr">
        <is>
          <t>—</t>
        </is>
      </c>
      <c r="F109" s="191" t="inlineStr">
        <is>
          <t>Harish Bhat</t>
        </is>
      </c>
      <c r="G109" s="191" t="inlineStr">
        <is>
          <t>Offline</t>
        </is>
      </c>
      <c r="H109" s="191" t="inlineStr">
        <is>
          <t>Managers training discussion &amp; PPT</t>
        </is>
      </c>
      <c r="I109" s="192" t="n">
        <v>2</v>
      </c>
    </row>
    <row r="110" ht="15.75" customHeight="1" s="156">
      <c r="A110" s="191" t="inlineStr">
        <is>
          <t>May 2026</t>
        </is>
      </c>
      <c r="B110" s="191" t="inlineStr">
        <is>
          <t>Other</t>
        </is>
      </c>
      <c r="C110" s="191" t="inlineStr">
        <is>
          <t>Managers training discussion &amp; PPT</t>
        </is>
      </c>
      <c r="D110" s="191" t="inlineStr">
        <is>
          <t>2026-05-12</t>
        </is>
      </c>
      <c r="E110" s="191" t="inlineStr">
        <is>
          <t>—</t>
        </is>
      </c>
      <c r="F110" s="191" t="inlineStr">
        <is>
          <t>Harish Bhat</t>
        </is>
      </c>
      <c r="G110" s="191" t="inlineStr">
        <is>
          <t>Offline</t>
        </is>
      </c>
      <c r="H110" s="191" t="inlineStr">
        <is>
          <t>Managers training discussion &amp; PPT</t>
        </is>
      </c>
      <c r="I110" s="192" t="n">
        <v>3</v>
      </c>
    </row>
    <row r="111" ht="15.75" customHeight="1" s="156">
      <c r="A111" s="191" t="inlineStr">
        <is>
          <t>May 2026</t>
        </is>
      </c>
      <c r="B111" s="191" t="inlineStr">
        <is>
          <t>Other</t>
        </is>
      </c>
      <c r="C111" s="191" t="inlineStr">
        <is>
          <t>Managers training discussion &amp; PPT  &amp; tool integration</t>
        </is>
      </c>
      <c r="D111" s="191" t="inlineStr">
        <is>
          <t>2026-05-14</t>
        </is>
      </c>
      <c r="E111" s="191" t="inlineStr">
        <is>
          <t>—</t>
        </is>
      </c>
      <c r="F111" s="191" t="inlineStr">
        <is>
          <t>Harish Bhat</t>
        </is>
      </c>
      <c r="G111" s="191" t="inlineStr">
        <is>
          <t>Offline</t>
        </is>
      </c>
      <c r="H111" s="191" t="inlineStr">
        <is>
          <t>Managers training discussion &amp; PPT  &amp; tool integration</t>
        </is>
      </c>
      <c r="I111" s="192" t="n">
        <v>2</v>
      </c>
    </row>
    <row r="112" ht="15.75" customHeight="1" s="156">
      <c r="A112" s="189" t="inlineStr">
        <is>
          <t>May 2026</t>
        </is>
      </c>
      <c r="B112" s="189" t="inlineStr">
        <is>
          <t>Support Training</t>
        </is>
      </c>
      <c r="C112" s="189" t="inlineStr">
        <is>
          <t>Review on Pick &amp; Speak &amp; mockcall</t>
        </is>
      </c>
      <c r="D112" s="189" t="inlineStr">
        <is>
          <t>2026-05-07</t>
        </is>
      </c>
      <c r="E112" s="189" t="inlineStr">
        <is>
          <t>—</t>
        </is>
      </c>
      <c r="F112" s="189" t="inlineStr">
        <is>
          <t>Girish A</t>
        </is>
      </c>
      <c r="G112" s="189" t="inlineStr">
        <is>
          <t>Online</t>
        </is>
      </c>
      <c r="H112" s="189" t="inlineStr">
        <is>
          <t>Review on Pick &amp; Speak &amp; mockcall</t>
        </is>
      </c>
      <c r="I112" s="190" t="n">
        <v>2</v>
      </c>
    </row>
    <row r="113" ht="15.75" customHeight="1" s="156">
      <c r="A113" s="189" t="inlineStr">
        <is>
          <t>May 2026</t>
        </is>
      </c>
      <c r="B113" s="189" t="inlineStr">
        <is>
          <t>Support Training</t>
        </is>
      </c>
      <c r="C113" s="189" t="inlineStr">
        <is>
          <t>Review on Pick &amp; Speak &amp; mockcall</t>
        </is>
      </c>
      <c r="D113" s="189" t="inlineStr">
        <is>
          <t>2026-05-08</t>
        </is>
      </c>
      <c r="E113" s="189" t="inlineStr">
        <is>
          <t>—</t>
        </is>
      </c>
      <c r="F113" s="189" t="inlineStr">
        <is>
          <t>Girish A</t>
        </is>
      </c>
      <c r="G113" s="189" t="inlineStr">
        <is>
          <t>Online</t>
        </is>
      </c>
      <c r="H113" s="189" t="inlineStr">
        <is>
          <t>Review on Pick &amp; Speak &amp; mockcall</t>
        </is>
      </c>
      <c r="I113" s="190" t="n">
        <v>2</v>
      </c>
    </row>
    <row r="114" ht="15.75" customHeight="1" s="156">
      <c r="A114" s="189" t="inlineStr">
        <is>
          <t>May 2026</t>
        </is>
      </c>
      <c r="B114" s="189" t="inlineStr">
        <is>
          <t>Support Training</t>
        </is>
      </c>
      <c r="C114" s="189" t="inlineStr">
        <is>
          <t>Review on Pick &amp; Speak &amp; mockcall</t>
        </is>
      </c>
      <c r="D114" s="189" t="inlineStr">
        <is>
          <t>2026-05-11</t>
        </is>
      </c>
      <c r="E114" s="189" t="inlineStr">
        <is>
          <t>—</t>
        </is>
      </c>
      <c r="F114" s="189" t="inlineStr">
        <is>
          <t>Girish A</t>
        </is>
      </c>
      <c r="G114" s="189" t="inlineStr">
        <is>
          <t>Online</t>
        </is>
      </c>
      <c r="H114" s="189" t="inlineStr">
        <is>
          <t>Review on Pick &amp; Speak &amp; mockcall</t>
        </is>
      </c>
      <c r="I114" s="190" t="n">
        <v>3</v>
      </c>
    </row>
    <row r="115" ht="15.75" customHeight="1" s="156">
      <c r="A115" s="189" t="inlineStr">
        <is>
          <t>May 2026</t>
        </is>
      </c>
      <c r="B115" s="189" t="inlineStr">
        <is>
          <t>Support Training</t>
        </is>
      </c>
      <c r="C115" s="189" t="inlineStr">
        <is>
          <t>Communicate 360- Anish's team · proctoring</t>
        </is>
      </c>
      <c r="D115" s="189" t="inlineStr">
        <is>
          <t>2026-05-14</t>
        </is>
      </c>
      <c r="E115" s="189" t="inlineStr">
        <is>
          <t>—</t>
        </is>
      </c>
      <c r="F115" s="189" t="inlineStr">
        <is>
          <t>Girish A</t>
        </is>
      </c>
      <c r="G115" s="189" t="inlineStr">
        <is>
          <t>Online</t>
        </is>
      </c>
      <c r="H115" s="189" t="inlineStr">
        <is>
          <t>Communicate 360- Anish's team · proctoring</t>
        </is>
      </c>
      <c r="I115" s="190" t="n">
        <v>3</v>
      </c>
    </row>
    <row r="116" ht="15.75" customHeight="1" s="156">
      <c r="A116" s="189" t="inlineStr">
        <is>
          <t>May 2026</t>
        </is>
      </c>
      <c r="B116" s="189" t="inlineStr">
        <is>
          <t>Support Training</t>
        </is>
      </c>
      <c r="C116" s="189" t="inlineStr">
        <is>
          <t>Trainer Dashboard</t>
        </is>
      </c>
      <c r="D116" s="189" t="inlineStr">
        <is>
          <t>2026-05-15</t>
        </is>
      </c>
      <c r="E116" s="189" t="inlineStr">
        <is>
          <t>—</t>
        </is>
      </c>
      <c r="F116" s="189" t="inlineStr">
        <is>
          <t>Girish A</t>
        </is>
      </c>
      <c r="G116" s="189" t="inlineStr">
        <is>
          <t>Online</t>
        </is>
      </c>
      <c r="H116" s="189" t="inlineStr">
        <is>
          <t>Trainer Dashboard</t>
        </is>
      </c>
      <c r="I116" s="190" t="n">
        <v>3</v>
      </c>
    </row>
    <row r="117" ht="15.75" customHeight="1" s="156">
      <c r="A117" s="189" t="inlineStr">
        <is>
          <t>May 2026</t>
        </is>
      </c>
      <c r="B117" s="189" t="inlineStr">
        <is>
          <t>Support Training</t>
        </is>
      </c>
      <c r="C117" s="189" t="inlineStr">
        <is>
          <t>Trainer Dahboard</t>
        </is>
      </c>
      <c r="D117" s="189" t="inlineStr">
        <is>
          <t>2026-05-18</t>
        </is>
      </c>
      <c r="E117" s="189" t="inlineStr">
        <is>
          <t>—</t>
        </is>
      </c>
      <c r="F117" s="189" t="inlineStr">
        <is>
          <t>Girish A</t>
        </is>
      </c>
      <c r="G117" s="189" t="inlineStr">
        <is>
          <t>Online</t>
        </is>
      </c>
      <c r="H117" s="189" t="inlineStr">
        <is>
          <t>Trainer Dahboard</t>
        </is>
      </c>
      <c r="I117" s="190" t="n">
        <v>3</v>
      </c>
    </row>
    <row r="118" ht="15.75" customHeight="1" s="156">
      <c r="A118" s="189" t="inlineStr">
        <is>
          <t>May 2026</t>
        </is>
      </c>
      <c r="B118" s="189" t="inlineStr">
        <is>
          <t>Support Training</t>
        </is>
      </c>
      <c r="C118" s="189" t="inlineStr">
        <is>
          <t>Session on Primary and Secondary transfer of securities and SOPs of Abusive calls</t>
        </is>
      </c>
      <c r="D118" s="189" t="inlineStr">
        <is>
          <t>2026-05-20</t>
        </is>
      </c>
      <c r="E118" s="189" t="inlineStr">
        <is>
          <t>—</t>
        </is>
      </c>
      <c r="F118" s="189" t="inlineStr">
        <is>
          <t>Girish A</t>
        </is>
      </c>
      <c r="G118" s="189" t="inlineStr">
        <is>
          <t>Online</t>
        </is>
      </c>
      <c r="H118" s="189" t="inlineStr">
        <is>
          <t>Session on Primary and Secondary transfer of securities and SOPs of Abusive calls</t>
        </is>
      </c>
      <c r="I118" s="190" t="n">
        <v>1</v>
      </c>
    </row>
    <row r="119" ht="15.75" customHeight="1" s="156">
      <c r="A119" s="189" t="inlineStr">
        <is>
          <t>May 2026</t>
        </is>
      </c>
      <c r="B119" s="189" t="inlineStr">
        <is>
          <t>Support Training</t>
        </is>
      </c>
      <c r="C119" s="189" t="inlineStr">
        <is>
          <t>Trainer Dashboard</t>
        </is>
      </c>
      <c r="D119" s="189" t="inlineStr">
        <is>
          <t>2026-05-26</t>
        </is>
      </c>
      <c r="E119" s="189" t="inlineStr">
        <is>
          <t>—</t>
        </is>
      </c>
      <c r="F119" s="189" t="inlineStr">
        <is>
          <t>Girish A</t>
        </is>
      </c>
      <c r="G119" s="189" t="inlineStr">
        <is>
          <t>Online</t>
        </is>
      </c>
      <c r="H119" s="189" t="inlineStr">
        <is>
          <t>Trainer Dashboard</t>
        </is>
      </c>
      <c r="I119" s="190" t="n">
        <v>3</v>
      </c>
    </row>
    <row r="120" ht="15.75" customHeight="1" s="156">
      <c r="A120" s="191" t="inlineStr">
        <is>
          <t>May 2026</t>
        </is>
      </c>
      <c r="B120" s="191" t="inlineStr">
        <is>
          <t>Support Training</t>
        </is>
      </c>
      <c r="C120" s="191" t="inlineStr">
        <is>
          <t>Communicate 360- Anish's team · proctoring</t>
        </is>
      </c>
      <c r="D120" s="191" t="inlineStr">
        <is>
          <t>2026-05-11</t>
        </is>
      </c>
      <c r="E120" s="191" t="inlineStr">
        <is>
          <t>—</t>
        </is>
      </c>
      <c r="F120" s="191" t="inlineStr">
        <is>
          <t>Girish A</t>
        </is>
      </c>
      <c r="G120" s="191" t="inlineStr">
        <is>
          <t>Offline</t>
        </is>
      </c>
      <c r="H120" s="191" t="inlineStr">
        <is>
          <t>Communicate 360- Anish's team · proctoring</t>
        </is>
      </c>
      <c r="I120" s="192" t="n">
        <v>3</v>
      </c>
    </row>
    <row r="121" ht="15.75" customHeight="1" s="156">
      <c r="A121" s="191" t="inlineStr">
        <is>
          <t>May 2026</t>
        </is>
      </c>
      <c r="B121" s="191" t="inlineStr">
        <is>
          <t>Support Training</t>
        </is>
      </c>
      <c r="C121" s="191" t="inlineStr">
        <is>
          <t>Communicate 360- Anish's team · proctoring</t>
        </is>
      </c>
      <c r="D121" s="191" t="inlineStr">
        <is>
          <t>2026-05-12</t>
        </is>
      </c>
      <c r="E121" s="191" t="inlineStr">
        <is>
          <t>—</t>
        </is>
      </c>
      <c r="F121" s="191" t="inlineStr">
        <is>
          <t>Girish A</t>
        </is>
      </c>
      <c r="G121" s="191" t="inlineStr">
        <is>
          <t>Offline</t>
        </is>
      </c>
      <c r="H121" s="191" t="inlineStr">
        <is>
          <t>Communicate 360- Anish's team · proctoring</t>
        </is>
      </c>
      <c r="I121" s="192" t="n">
        <v>1.5</v>
      </c>
    </row>
    <row r="122" ht="15.75" customHeight="1" s="156">
      <c r="A122" s="191" t="inlineStr">
        <is>
          <t>May 2026</t>
        </is>
      </c>
      <c r="B122" s="191" t="inlineStr">
        <is>
          <t>Support Training</t>
        </is>
      </c>
      <c r="C122" s="191" t="inlineStr">
        <is>
          <t>Managers training discussion</t>
        </is>
      </c>
      <c r="D122" s="191" t="inlineStr">
        <is>
          <t>2026-05-12</t>
        </is>
      </c>
      <c r="E122" s="191" t="inlineStr">
        <is>
          <t>—</t>
        </is>
      </c>
      <c r="F122" s="191" t="inlineStr">
        <is>
          <t>Girish A</t>
        </is>
      </c>
      <c r="G122" s="191" t="inlineStr">
        <is>
          <t>Offline</t>
        </is>
      </c>
      <c r="H122" s="191" t="inlineStr">
        <is>
          <t>Managers training discussion</t>
        </is>
      </c>
      <c r="I122" s="192" t="n">
        <v>3</v>
      </c>
    </row>
    <row r="123" ht="15.75" customHeight="1" s="156">
      <c r="A123" s="191" t="inlineStr">
        <is>
          <t>May 2026</t>
        </is>
      </c>
      <c r="B123" s="191" t="inlineStr">
        <is>
          <t>Support Training</t>
        </is>
      </c>
      <c r="C123" s="191" t="inlineStr">
        <is>
          <t>Communicate 360- Anish's team · proctoring ·</t>
        </is>
      </c>
      <c r="D123" s="191" t="inlineStr">
        <is>
          <t>2026-05-13</t>
        </is>
      </c>
      <c r="E123" s="191" t="inlineStr">
        <is>
          <t>—</t>
        </is>
      </c>
      <c r="F123" s="191" t="inlineStr">
        <is>
          <t>Girish A</t>
        </is>
      </c>
      <c r="G123" s="191" t="inlineStr">
        <is>
          <t>Offline</t>
        </is>
      </c>
      <c r="H123" s="191" t="inlineStr">
        <is>
          <t>Communicate 360- Anish's team · proctoring ·</t>
        </is>
      </c>
      <c r="I123" s="192" t="n">
        <v>3</v>
      </c>
    </row>
    <row r="124" ht="15.75" customHeight="1" s="156">
      <c r="A124" s="191" t="inlineStr">
        <is>
          <t>May 2026</t>
        </is>
      </c>
      <c r="B124" s="191" t="inlineStr">
        <is>
          <t>Support Training</t>
        </is>
      </c>
      <c r="C124" s="191" t="inlineStr">
        <is>
          <t>Managers training discussion</t>
        </is>
      </c>
      <c r="D124" s="191" t="inlineStr">
        <is>
          <t>2026-05-13</t>
        </is>
      </c>
      <c r="E124" s="191" t="inlineStr">
        <is>
          <t>—</t>
        </is>
      </c>
      <c r="F124" s="191" t="inlineStr">
        <is>
          <t>Girish A</t>
        </is>
      </c>
      <c r="G124" s="191" t="inlineStr">
        <is>
          <t>Offline</t>
        </is>
      </c>
      <c r="H124" s="191" t="inlineStr">
        <is>
          <t>Managers training discussion</t>
        </is>
      </c>
      <c r="I124" s="192" t="n">
        <v>2</v>
      </c>
    </row>
    <row r="125" ht="15.75" customHeight="1" s="156">
      <c r="A125" s="191" t="inlineStr">
        <is>
          <t>May 2026</t>
        </is>
      </c>
      <c r="B125" s="191" t="inlineStr">
        <is>
          <t>Support Training</t>
        </is>
      </c>
      <c r="C125" s="191" t="inlineStr">
        <is>
          <t>Manager Assessments integration</t>
        </is>
      </c>
      <c r="D125" s="191" t="inlineStr">
        <is>
          <t>2026-05-14</t>
        </is>
      </c>
      <c r="E125" s="191" t="inlineStr">
        <is>
          <t>—</t>
        </is>
      </c>
      <c r="F125" s="191" t="inlineStr">
        <is>
          <t>Girish A</t>
        </is>
      </c>
      <c r="G125" s="191" t="inlineStr">
        <is>
          <t>Offline</t>
        </is>
      </c>
      <c r="H125" s="191" t="inlineStr">
        <is>
          <t>Manager Assessments integration</t>
        </is>
      </c>
      <c r="I125" s="192" t="n">
        <v>3</v>
      </c>
    </row>
    <row r="126" ht="15.75" customHeight="1" s="156">
      <c r="A126" s="189" t="inlineStr">
        <is>
          <t>May 2026</t>
        </is>
      </c>
      <c r="B126" s="189" t="inlineStr">
        <is>
          <t>Support Training</t>
        </is>
      </c>
      <c r="C126" s="189" t="inlineStr">
        <is>
          <t>Preperation for Session on Primary and Secondary transfer of securities and SOPs of Abusive calls</t>
        </is>
      </c>
      <c r="D126" s="189" t="inlineStr">
        <is>
          <t>2026-05-18</t>
        </is>
      </c>
      <c r="E126" s="189" t="inlineStr">
        <is>
          <t>—</t>
        </is>
      </c>
      <c r="F126" s="189" t="inlineStr">
        <is>
          <t>Girish A</t>
        </is>
      </c>
      <c r="G126" s="189" t="inlineStr">
        <is>
          <t>Online</t>
        </is>
      </c>
      <c r="H126" s="189" t="inlineStr">
        <is>
          <t>Preperation for Session on Primary and Secondary transfer of securities and SOPs of Abusive calls</t>
        </is>
      </c>
      <c r="I126" s="190" t="n">
        <v>4</v>
      </c>
    </row>
    <row r="127" ht="15.75" customHeight="1" s="156">
      <c r="A127" s="189" t="inlineStr">
        <is>
          <t>May 2026</t>
        </is>
      </c>
      <c r="B127" s="189" t="inlineStr">
        <is>
          <t>Support Training</t>
        </is>
      </c>
      <c r="C127" s="189" t="inlineStr">
        <is>
          <t>Preperation for Session on Primary and Secondary transfer of securities and SOPs of Abusive calls</t>
        </is>
      </c>
      <c r="D127" s="189" t="inlineStr">
        <is>
          <t>2026-05-19</t>
        </is>
      </c>
      <c r="E127" s="189" t="inlineStr">
        <is>
          <t>—</t>
        </is>
      </c>
      <c r="F127" s="189" t="inlineStr">
        <is>
          <t>Girish A</t>
        </is>
      </c>
      <c r="G127" s="189" t="inlineStr">
        <is>
          <t>Online</t>
        </is>
      </c>
      <c r="H127" s="189" t="inlineStr">
        <is>
          <t>Preperation for Session on Primary and Secondary transfer of securities and SOPs of Abusive calls</t>
        </is>
      </c>
      <c r="I127" s="190" t="n">
        <v>6</v>
      </c>
    </row>
    <row r="128" ht="15.75" customHeight="1" s="156">
      <c r="A128" s="189" t="inlineStr">
        <is>
          <t>May 2026</t>
        </is>
      </c>
      <c r="B128" s="189" t="inlineStr">
        <is>
          <t>Other</t>
        </is>
      </c>
      <c r="C128" s="189" t="inlineStr">
        <is>
          <t>NRI training preparations</t>
        </is>
      </c>
      <c r="D128" s="189" t="inlineStr">
        <is>
          <t>2026-05-26</t>
        </is>
      </c>
      <c r="E128" s="189" t="inlineStr">
        <is>
          <t>—</t>
        </is>
      </c>
      <c r="F128" s="189" t="inlineStr">
        <is>
          <t>Girish A</t>
        </is>
      </c>
      <c r="G128" s="189" t="inlineStr">
        <is>
          <t>Online</t>
        </is>
      </c>
      <c r="H128" s="189" t="inlineStr">
        <is>
          <t>NRI training preparations</t>
        </is>
      </c>
      <c r="I128" s="190" t="n">
        <v>2</v>
      </c>
    </row>
    <row r="129" ht="15.75" customHeight="1" s="156">
      <c r="A129" s="191" t="inlineStr">
        <is>
          <t>May 2026</t>
        </is>
      </c>
      <c r="B129" s="191" t="inlineStr">
        <is>
          <t>Other</t>
        </is>
      </c>
      <c r="C129" s="191" t="inlineStr">
        <is>
          <t>NRI training preparations</t>
        </is>
      </c>
      <c r="D129" s="191" t="inlineStr">
        <is>
          <t>2026-05-27</t>
        </is>
      </c>
      <c r="E129" s="191" t="inlineStr">
        <is>
          <t>—</t>
        </is>
      </c>
      <c r="F129" s="191" t="inlineStr">
        <is>
          <t>Girish A</t>
        </is>
      </c>
      <c r="G129" s="191" t="inlineStr">
        <is>
          <t>Offline</t>
        </is>
      </c>
      <c r="H129" s="191" t="inlineStr">
        <is>
          <t>NRI training preparations</t>
        </is>
      </c>
      <c r="I129" s="192" t="n">
        <v>2</v>
      </c>
    </row>
    <row r="130" ht="15.75" customHeight="1" s="156">
      <c r="A130" s="191" t="inlineStr">
        <is>
          <t>May 2026</t>
        </is>
      </c>
      <c r="B130" s="191" t="inlineStr">
        <is>
          <t>Other</t>
        </is>
      </c>
      <c r="C130" s="191" t="inlineStr">
        <is>
          <t>NRI training preparations</t>
        </is>
      </c>
      <c r="D130" s="191" t="inlineStr">
        <is>
          <t>2026-05-29</t>
        </is>
      </c>
      <c r="E130" s="191" t="inlineStr">
        <is>
          <t>—</t>
        </is>
      </c>
      <c r="F130" s="191" t="inlineStr">
        <is>
          <t>Girish A</t>
        </is>
      </c>
      <c r="G130" s="191" t="inlineStr">
        <is>
          <t>Offline</t>
        </is>
      </c>
      <c r="H130" s="191" t="inlineStr">
        <is>
          <t>NRI training preparations</t>
        </is>
      </c>
      <c r="I130" s="192" t="n">
        <v>4</v>
      </c>
    </row>
    <row r="131" ht="15.75" customHeight="1" s="156">
      <c r="A131" s="189" t="inlineStr">
        <is>
          <t>May 2026</t>
        </is>
      </c>
      <c r="B131" s="189" t="inlineStr">
        <is>
          <t>Other</t>
        </is>
      </c>
      <c r="C131" s="189" t="inlineStr">
        <is>
          <t>Anish's team report sending</t>
        </is>
      </c>
      <c r="D131" s="189" t="inlineStr">
        <is>
          <t>2026-05-29</t>
        </is>
      </c>
      <c r="E131" s="189" t="inlineStr">
        <is>
          <t>—</t>
        </is>
      </c>
      <c r="F131" s="189" t="inlineStr">
        <is>
          <t>Harish Bhat</t>
        </is>
      </c>
      <c r="G131" s="189" t="inlineStr">
        <is>
          <t>Online</t>
        </is>
      </c>
      <c r="H131" s="189" t="inlineStr">
        <is>
          <t>Anish's team report sending</t>
        </is>
      </c>
      <c r="I131" s="190" t="n">
        <v>2</v>
      </c>
    </row>
    <row r="132" ht="15.75" customHeight="1" s="156">
      <c r="A132" s="189" t="inlineStr">
        <is>
          <t>May 2026</t>
        </is>
      </c>
      <c r="B132" s="189" t="inlineStr">
        <is>
          <t>Support Training</t>
        </is>
      </c>
      <c r="C132" s="189" t="inlineStr">
        <is>
          <t>Recruitment paper preparation</t>
        </is>
      </c>
      <c r="D132" s="189" t="inlineStr">
        <is>
          <t>2026-05-21</t>
        </is>
      </c>
      <c r="E132" s="189" t="inlineStr">
        <is>
          <t>—</t>
        </is>
      </c>
      <c r="F132" s="189" t="inlineStr">
        <is>
          <t>Harish Bhat</t>
        </is>
      </c>
      <c r="G132" s="189" t="inlineStr">
        <is>
          <t>Online</t>
        </is>
      </c>
      <c r="H132" s="189" t="inlineStr">
        <is>
          <t>Recruitment paper preparation</t>
        </is>
      </c>
      <c r="I132" s="190" t="n">
        <v>2</v>
      </c>
    </row>
    <row r="133" ht="15.75" customHeight="1" s="156">
      <c r="A133" s="191" t="inlineStr">
        <is>
          <t>May 2026</t>
        </is>
      </c>
      <c r="B133" s="191" t="inlineStr">
        <is>
          <t>Support Training</t>
        </is>
      </c>
      <c r="C133" s="191" t="inlineStr">
        <is>
          <t>Communicate 360- Anish's team proctoring</t>
        </is>
      </c>
      <c r="D133" s="191" t="inlineStr">
        <is>
          <t>2026-05-06</t>
        </is>
      </c>
      <c r="E133" s="191" t="inlineStr">
        <is>
          <t>—</t>
        </is>
      </c>
      <c r="F133" s="191" t="inlineStr">
        <is>
          <t>Girish A</t>
        </is>
      </c>
      <c r="G133" s="191" t="inlineStr">
        <is>
          <t>Offline</t>
        </is>
      </c>
      <c r="H133" s="191" t="inlineStr">
        <is>
          <t>Communicate 360- Anish's team proctoring</t>
        </is>
      </c>
      <c r="I133" s="192" t="n">
        <v>2</v>
      </c>
    </row>
    <row r="134" ht="15.75" customHeight="1" s="156">
      <c r="A134" s="191" t="inlineStr">
        <is>
          <t>May 2026</t>
        </is>
      </c>
      <c r="B134" s="191" t="inlineStr">
        <is>
          <t>Support Training</t>
        </is>
      </c>
      <c r="C134" s="191" t="inlineStr">
        <is>
          <t>Communicate 360- Anish's team</t>
        </is>
      </c>
      <c r="D134" s="191" t="inlineStr">
        <is>
          <t>2026-05-05</t>
        </is>
      </c>
      <c r="E134" s="191" t="inlineStr">
        <is>
          <t>—</t>
        </is>
      </c>
      <c r="F134" s="191" t="inlineStr">
        <is>
          <t>Girish A</t>
        </is>
      </c>
      <c r="G134" s="191" t="inlineStr">
        <is>
          <t>Offline</t>
        </is>
      </c>
      <c r="H134" s="191" t="inlineStr">
        <is>
          <t>Communicate 360- Anish's team</t>
        </is>
      </c>
      <c r="I134" s="192" t="n">
        <v>2</v>
      </c>
    </row>
    <row r="135" ht="15.75" customHeight="1" s="156">
      <c r="A135" s="189" t="inlineStr">
        <is>
          <t>May 2026</t>
        </is>
      </c>
      <c r="B135" s="189" t="inlineStr">
        <is>
          <t>Other</t>
        </is>
      </c>
      <c r="C135" s="189" t="inlineStr">
        <is>
          <t>NRI training preparations</t>
        </is>
      </c>
      <c r="D135" s="189" t="inlineStr">
        <is>
          <t>2026-05-25</t>
        </is>
      </c>
      <c r="E135" s="189" t="inlineStr">
        <is>
          <t>—</t>
        </is>
      </c>
      <c r="F135" s="189" t="inlineStr">
        <is>
          <t>Girish A</t>
        </is>
      </c>
      <c r="G135" s="189" t="inlineStr">
        <is>
          <t>Online</t>
        </is>
      </c>
      <c r="H135" s="189" t="inlineStr">
        <is>
          <t>NRI training preparations</t>
        </is>
      </c>
      <c r="I135" s="190" t="n">
        <v>2</v>
      </c>
    </row>
    <row r="136" ht="15.75" customHeight="1" s="156">
      <c r="A136" s="191" t="inlineStr">
        <is>
          <t>May 2026</t>
        </is>
      </c>
      <c r="B136" s="191" t="inlineStr">
        <is>
          <t>Support Training</t>
        </is>
      </c>
      <c r="C136" s="191" t="inlineStr">
        <is>
          <t>Communicate 360- Anish's team · proctoring</t>
        </is>
      </c>
      <c r="D136" s="191" t="inlineStr">
        <is>
          <t>2026-05-04</t>
        </is>
      </c>
      <c r="E136" s="191" t="inlineStr">
        <is>
          <t>—</t>
        </is>
      </c>
      <c r="F136" s="191" t="inlineStr">
        <is>
          <t>Girish A</t>
        </is>
      </c>
      <c r="G136" s="191" t="inlineStr">
        <is>
          <t>Offline</t>
        </is>
      </c>
      <c r="H136" s="191" t="inlineStr">
        <is>
          <t>Communicate 360- Anish's team · proctoring</t>
        </is>
      </c>
      <c r="I136" s="192" t="n">
        <v>3</v>
      </c>
    </row>
    <row r="137" ht="15.75" customHeight="1" s="156">
      <c r="A137" s="191" t="inlineStr">
        <is>
          <t>May 2026</t>
        </is>
      </c>
      <c r="B137" s="191" t="inlineStr">
        <is>
          <t>Support Training</t>
        </is>
      </c>
      <c r="C137" s="191" t="inlineStr">
        <is>
          <t>Communicate 360- Renu's team</t>
        </is>
      </c>
      <c r="D137" s="191" t="inlineStr">
        <is>
          <t>2026-05-11</t>
        </is>
      </c>
      <c r="E137" s="191" t="inlineStr">
        <is>
          <t>—</t>
        </is>
      </c>
      <c r="F137" s="191" t="inlineStr">
        <is>
          <t>Freeda Reshma Dsouza</t>
        </is>
      </c>
      <c r="G137" s="191" t="inlineStr">
        <is>
          <t>Offline</t>
        </is>
      </c>
      <c r="H137" s="191" t="inlineStr">
        <is>
          <t>Communicate 360- Renu's team</t>
        </is>
      </c>
      <c r="I137" s="192" t="n">
        <v>5</v>
      </c>
    </row>
    <row r="138" ht="15.75" customHeight="1" s="156">
      <c r="A138" s="191" t="inlineStr">
        <is>
          <t>May 2026</t>
        </is>
      </c>
      <c r="B138" s="191" t="inlineStr">
        <is>
          <t>Support Training</t>
        </is>
      </c>
      <c r="C138" s="191" t="inlineStr">
        <is>
          <t>Communicate 360- Renu's team</t>
        </is>
      </c>
      <c r="D138" s="191" t="inlineStr">
        <is>
          <t>2026-05-12</t>
        </is>
      </c>
      <c r="E138" s="191" t="inlineStr">
        <is>
          <t>—</t>
        </is>
      </c>
      <c r="F138" s="191" t="inlineStr">
        <is>
          <t>Freeda Reshma Dsouza</t>
        </is>
      </c>
      <c r="G138" s="191" t="inlineStr">
        <is>
          <t>Offline</t>
        </is>
      </c>
      <c r="H138" s="191" t="inlineStr">
        <is>
          <t>Communicate 360- Renu's team</t>
        </is>
      </c>
      <c r="I138" s="192" t="n">
        <v>5</v>
      </c>
    </row>
    <row r="139" ht="15.75" customHeight="1" s="156">
      <c r="A139" s="191" t="inlineStr">
        <is>
          <t>May 2026</t>
        </is>
      </c>
      <c r="B139" s="191" t="inlineStr">
        <is>
          <t>Support Training</t>
        </is>
      </c>
      <c r="C139" s="191" t="inlineStr">
        <is>
          <t>Communicate 360- Renu's team</t>
        </is>
      </c>
      <c r="D139" s="191" t="inlineStr">
        <is>
          <t>2026-05-14</t>
        </is>
      </c>
      <c r="E139" s="191" t="inlineStr">
        <is>
          <t>—</t>
        </is>
      </c>
      <c r="F139" s="191" t="inlineStr">
        <is>
          <t>Freeda Reshma Dsouza</t>
        </is>
      </c>
      <c r="G139" s="191" t="inlineStr">
        <is>
          <t>Offline</t>
        </is>
      </c>
      <c r="H139" s="191" t="inlineStr">
        <is>
          <t>Communicate 360- Renu's team</t>
        </is>
      </c>
      <c r="I139" s="192" t="n">
        <v>5</v>
      </c>
    </row>
    <row r="140" ht="15.75" customHeight="1" s="156">
      <c r="A140" s="191" t="inlineStr">
        <is>
          <t>May 2026</t>
        </is>
      </c>
      <c r="B140" s="191" t="inlineStr">
        <is>
          <t>Support Training</t>
        </is>
      </c>
      <c r="C140" s="191" t="inlineStr">
        <is>
          <t>Communicate 360- Renu's team</t>
        </is>
      </c>
      <c r="D140" s="191" t="inlineStr">
        <is>
          <t>2026-05-13</t>
        </is>
      </c>
      <c r="E140" s="191" t="inlineStr">
        <is>
          <t>—</t>
        </is>
      </c>
      <c r="F140" s="191" t="inlineStr">
        <is>
          <t>Freeda Reshma Dsouza</t>
        </is>
      </c>
      <c r="G140" s="191" t="inlineStr">
        <is>
          <t>Offline</t>
        </is>
      </c>
      <c r="H140" s="191" t="inlineStr">
        <is>
          <t>Communicate 360- Renu's team</t>
        </is>
      </c>
      <c r="I140" s="192" t="n">
        <v>5</v>
      </c>
    </row>
    <row r="141" ht="15.75" customHeight="1" s="156">
      <c r="A141" s="189" t="inlineStr">
        <is>
          <t>May 2026</t>
        </is>
      </c>
      <c r="B141" s="189" t="inlineStr">
        <is>
          <t>Other</t>
        </is>
      </c>
      <c r="C141" s="189" t="inlineStr">
        <is>
          <t>Review on Pick &amp; Speak</t>
        </is>
      </c>
      <c r="D141" s="189" t="inlineStr">
        <is>
          <t>2026-05-27</t>
        </is>
      </c>
      <c r="E141" s="189" t="inlineStr">
        <is>
          <t>—</t>
        </is>
      </c>
      <c r="F141" s="189" t="inlineStr">
        <is>
          <t>Freeda Reshma Dsouza</t>
        </is>
      </c>
      <c r="G141" s="189" t="inlineStr">
        <is>
          <t>Online</t>
        </is>
      </c>
      <c r="H141" s="189" t="inlineStr">
        <is>
          <t>Review on Pick &amp; Speak</t>
        </is>
      </c>
      <c r="I141" s="190" t="n">
        <v>3</v>
      </c>
    </row>
    <row r="142" ht="15.75" customHeight="1" s="156">
      <c r="A142" s="189" t="inlineStr">
        <is>
          <t>June 2026</t>
        </is>
      </c>
      <c r="B142" s="189" t="inlineStr">
        <is>
          <t>Other</t>
        </is>
      </c>
      <c r="C142" s="189" t="inlineStr">
        <is>
          <t>QOD preparations</t>
        </is>
      </c>
      <c r="D142" s="189" t="inlineStr">
        <is>
          <t>2026-06-01</t>
        </is>
      </c>
      <c r="E142" s="189" t="inlineStr">
        <is>
          <t>—</t>
        </is>
      </c>
      <c r="F142" s="189" t="inlineStr">
        <is>
          <t>Girish A</t>
        </is>
      </c>
      <c r="G142" s="189" t="inlineStr">
        <is>
          <t>Online</t>
        </is>
      </c>
      <c r="H142" s="189" t="inlineStr">
        <is>
          <t>QOD preparations</t>
        </is>
      </c>
      <c r="I142" s="190" t="n">
        <v>1</v>
      </c>
    </row>
    <row r="143" ht="15.75" customHeight="1" s="156">
      <c r="A143" s="191" t="inlineStr">
        <is>
          <t>June 2026</t>
        </is>
      </c>
      <c r="B143" s="191" t="inlineStr">
        <is>
          <t>Support Training</t>
        </is>
      </c>
      <c r="C143" s="191" t="inlineStr">
        <is>
          <t>Communicate 360- Renu's team</t>
        </is>
      </c>
      <c r="D143" s="191" t="inlineStr">
        <is>
          <t>2026-06-02</t>
        </is>
      </c>
      <c r="E143" s="191" t="inlineStr">
        <is>
          <t>—</t>
        </is>
      </c>
      <c r="F143" s="191" t="inlineStr">
        <is>
          <t>Freeda Reshma Dsouza</t>
        </is>
      </c>
      <c r="G143" s="191" t="inlineStr">
        <is>
          <t>Offline</t>
        </is>
      </c>
      <c r="H143" s="191" t="inlineStr">
        <is>
          <t>Communicate 360- Renu's team</t>
        </is>
      </c>
      <c r="I143" s="192" t="n">
        <v>5</v>
      </c>
    </row>
    <row r="144" ht="15.75" customHeight="1" s="156">
      <c r="A144" s="191" t="inlineStr">
        <is>
          <t>June 2026</t>
        </is>
      </c>
      <c r="B144" s="191" t="inlineStr">
        <is>
          <t>Support Training</t>
        </is>
      </c>
      <c r="C144" s="191" t="inlineStr">
        <is>
          <t>Communicate 360- Renu's team</t>
        </is>
      </c>
      <c r="D144" s="191" t="inlineStr">
        <is>
          <t>2026-06-03</t>
        </is>
      </c>
      <c r="E144" s="191" t="inlineStr">
        <is>
          <t>—</t>
        </is>
      </c>
      <c r="F144" s="191" t="inlineStr">
        <is>
          <t>Freeda Reshma Dsouza</t>
        </is>
      </c>
      <c r="G144" s="191" t="inlineStr">
        <is>
          <t>Offline</t>
        </is>
      </c>
      <c r="H144" s="191" t="inlineStr">
        <is>
          <t>Communicate 360- Renu's team</t>
        </is>
      </c>
      <c r="I144" s="192" t="n">
        <v>5</v>
      </c>
    </row>
    <row r="145" ht="15.75" customHeight="1" s="156">
      <c r="A145" s="191" t="inlineStr">
        <is>
          <t>June 2026</t>
        </is>
      </c>
      <c r="B145" s="191" t="inlineStr">
        <is>
          <t>Support Training</t>
        </is>
      </c>
      <c r="C145" s="191" t="inlineStr">
        <is>
          <t>Communicate 360- Renu's team</t>
        </is>
      </c>
      <c r="D145" s="191" t="inlineStr">
        <is>
          <t>2026-06-04</t>
        </is>
      </c>
      <c r="E145" s="191" t="inlineStr">
        <is>
          <t>—</t>
        </is>
      </c>
      <c r="F145" s="191" t="inlineStr">
        <is>
          <t>Freeda Reshma Dsouza</t>
        </is>
      </c>
      <c r="G145" s="191" t="inlineStr">
        <is>
          <t>Offline</t>
        </is>
      </c>
      <c r="H145" s="191" t="inlineStr">
        <is>
          <t>Communicate 360- Renu's team</t>
        </is>
      </c>
      <c r="I145" s="192" t="n">
        <v>5</v>
      </c>
    </row>
    <row r="146" ht="15.75" customHeight="1" s="156">
      <c r="A146" s="189" t="inlineStr">
        <is>
          <t>June 2026</t>
        </is>
      </c>
      <c r="B146" s="189" t="inlineStr">
        <is>
          <t>Support Training</t>
        </is>
      </c>
      <c r="C146" s="189" t="inlineStr">
        <is>
          <t>Review on Pick &amp; Speak</t>
        </is>
      </c>
      <c r="D146" s="189" t="inlineStr">
        <is>
          <t>2026-06-05</t>
        </is>
      </c>
      <c r="E146" s="189" t="inlineStr">
        <is>
          <t>—</t>
        </is>
      </c>
      <c r="F146" s="189" t="inlineStr">
        <is>
          <t>Freeda Reshma Dsouza</t>
        </is>
      </c>
      <c r="G146" s="189" t="inlineStr">
        <is>
          <t>Online</t>
        </is>
      </c>
      <c r="H146" s="189" t="inlineStr">
        <is>
          <t>Review on Pick &amp; Speak</t>
        </is>
      </c>
      <c r="I146" s="190" t="n">
        <v>5</v>
      </c>
    </row>
    <row r="147" ht="15.75" customHeight="1" s="156">
      <c r="A147" s="189" t="inlineStr">
        <is>
          <t>June 2026</t>
        </is>
      </c>
      <c r="B147" s="189" t="inlineStr">
        <is>
          <t>Support Training</t>
        </is>
      </c>
      <c r="C147" s="189" t="inlineStr">
        <is>
          <t>Communicate 360- Renu's team</t>
        </is>
      </c>
      <c r="D147" s="189" t="inlineStr">
        <is>
          <t>2026-06-01</t>
        </is>
      </c>
      <c r="E147" s="189" t="inlineStr">
        <is>
          <t>—</t>
        </is>
      </c>
      <c r="F147" s="189" t="inlineStr">
        <is>
          <t>Freeda Reshma Dsouza</t>
        </is>
      </c>
      <c r="G147" s="189" t="inlineStr">
        <is>
          <t>Online</t>
        </is>
      </c>
      <c r="H147" s="189" t="inlineStr">
        <is>
          <t>Communicate 360- Renu's team</t>
        </is>
      </c>
      <c r="I147" s="190" t="n">
        <v>5</v>
      </c>
    </row>
    <row r="148" ht="15.75" customHeight="1" s="156">
      <c r="A148" s="189" t="inlineStr">
        <is>
          <t>June 2026</t>
        </is>
      </c>
      <c r="B148" s="189" t="inlineStr">
        <is>
          <t>Support Training</t>
        </is>
      </c>
      <c r="C148" s="189" t="inlineStr">
        <is>
          <t>Communicate 360- Renu's team</t>
        </is>
      </c>
      <c r="D148" s="189" t="inlineStr">
        <is>
          <t>2026-06-08</t>
        </is>
      </c>
      <c r="E148" s="189" t="inlineStr">
        <is>
          <t>—</t>
        </is>
      </c>
      <c r="F148" s="189" t="inlineStr">
        <is>
          <t>Freeda Reshma Dsouza</t>
        </is>
      </c>
      <c r="G148" s="189" t="inlineStr">
        <is>
          <t>Online</t>
        </is>
      </c>
      <c r="H148" s="189" t="inlineStr">
        <is>
          <t>Communicate 360- Renu's team</t>
        </is>
      </c>
      <c r="I148" s="190" t="n">
        <v>2.5</v>
      </c>
    </row>
    <row r="149" ht="15.75" customHeight="1" s="156">
      <c r="A149" s="189" t="inlineStr">
        <is>
          <t>June 2026</t>
        </is>
      </c>
      <c r="B149" s="189" t="inlineStr">
        <is>
          <t>Other</t>
        </is>
      </c>
      <c r="C149" s="189" t="inlineStr">
        <is>
          <t>Communicate 360- Renu's team proctoring</t>
        </is>
      </c>
      <c r="D149" s="189" t="inlineStr">
        <is>
          <t>2026-06-01</t>
        </is>
      </c>
      <c r="E149" s="189" t="inlineStr">
        <is>
          <t>—</t>
        </is>
      </c>
      <c r="F149" s="189" t="inlineStr">
        <is>
          <t>Girish A</t>
        </is>
      </c>
      <c r="G149" s="189" t="inlineStr">
        <is>
          <t>Online</t>
        </is>
      </c>
      <c r="H149" s="189" t="inlineStr">
        <is>
          <t>Communicate 360- Renu's team proctoring</t>
        </is>
      </c>
      <c r="I149" s="190" t="n">
        <v>2</v>
      </c>
    </row>
    <row r="150" ht="15.75" customHeight="1" s="156">
      <c r="A150" s="191" t="inlineStr">
        <is>
          <t>June 2026</t>
        </is>
      </c>
      <c r="B150" s="191" t="inlineStr">
        <is>
          <t>Support Training</t>
        </is>
      </c>
      <c r="C150" s="191" t="inlineStr">
        <is>
          <t>NRI Sales and Acop Training session</t>
        </is>
      </c>
      <c r="D150" s="191" t="inlineStr">
        <is>
          <t>2026-06-02</t>
        </is>
      </c>
      <c r="E150" s="191" t="inlineStr">
        <is>
          <t>—</t>
        </is>
      </c>
      <c r="F150" s="191" t="inlineStr">
        <is>
          <t>Girish A</t>
        </is>
      </c>
      <c r="G150" s="191" t="inlineStr">
        <is>
          <t>Offline</t>
        </is>
      </c>
      <c r="H150" s="191" t="inlineStr">
        <is>
          <t>NRI Sales and Acop Training session</t>
        </is>
      </c>
      <c r="I150" s="192" t="n">
        <v>6.5</v>
      </c>
    </row>
    <row r="151" ht="15.75" customHeight="1" s="156">
      <c r="A151" s="191" t="inlineStr">
        <is>
          <t>June 2026</t>
        </is>
      </c>
      <c r="B151" s="191" t="inlineStr">
        <is>
          <t>Support Training</t>
        </is>
      </c>
      <c r="C151" s="191" t="inlineStr">
        <is>
          <t>NRI Sales and Acop Training session</t>
        </is>
      </c>
      <c r="D151" s="191" t="inlineStr">
        <is>
          <t>2026-06-03</t>
        </is>
      </c>
      <c r="E151" s="191" t="inlineStr">
        <is>
          <t>—</t>
        </is>
      </c>
      <c r="F151" s="191" t="inlineStr">
        <is>
          <t>Girish A</t>
        </is>
      </c>
      <c r="G151" s="191" t="inlineStr">
        <is>
          <t>Offline</t>
        </is>
      </c>
      <c r="H151" s="191" t="inlineStr">
        <is>
          <t>NRI Sales and Acop Training session</t>
        </is>
      </c>
      <c r="I151" s="192" t="n">
        <v>6.5</v>
      </c>
    </row>
    <row r="152" ht="15.75" customHeight="1" s="156">
      <c r="A152" s="191" t="inlineStr">
        <is>
          <t>June 2026</t>
        </is>
      </c>
      <c r="B152" s="191" t="inlineStr">
        <is>
          <t>Support Training</t>
        </is>
      </c>
      <c r="C152" s="191" t="inlineStr">
        <is>
          <t>NRI Sales and Acop Training session</t>
        </is>
      </c>
      <c r="D152" s="191" t="inlineStr">
        <is>
          <t>2026-06-04</t>
        </is>
      </c>
      <c r="E152" s="191" t="inlineStr">
        <is>
          <t>—</t>
        </is>
      </c>
      <c r="F152" s="191" t="inlineStr">
        <is>
          <t>Girish A</t>
        </is>
      </c>
      <c r="G152" s="191" t="inlineStr">
        <is>
          <t>Offline</t>
        </is>
      </c>
      <c r="H152" s="191" t="inlineStr">
        <is>
          <t>NRI Sales and Acop Training session</t>
        </is>
      </c>
      <c r="I152" s="192" t="n">
        <v>6.5</v>
      </c>
    </row>
    <row r="153" ht="15.75" customHeight="1" s="156">
      <c r="A153" s="191" t="inlineStr">
        <is>
          <t>June 2026</t>
        </is>
      </c>
      <c r="B153" s="191" t="inlineStr">
        <is>
          <t>Support Training</t>
        </is>
      </c>
      <c r="C153" s="191" t="inlineStr">
        <is>
          <t>NRI Sales and Acop Training session</t>
        </is>
      </c>
      <c r="D153" s="191" t="inlineStr">
        <is>
          <t>2026-06-05</t>
        </is>
      </c>
      <c r="E153" s="191" t="inlineStr">
        <is>
          <t>—</t>
        </is>
      </c>
      <c r="F153" s="191" t="inlineStr">
        <is>
          <t>Girish A</t>
        </is>
      </c>
      <c r="G153" s="191" t="inlineStr">
        <is>
          <t>Offline</t>
        </is>
      </c>
      <c r="H153" s="191" t="inlineStr">
        <is>
          <t>NRI Sales and Acop Training session</t>
        </is>
      </c>
      <c r="I153" s="192" t="n">
        <v>6.5</v>
      </c>
    </row>
    <row r="154" ht="15.75" customHeight="1" s="156">
      <c r="A154" s="191" t="inlineStr">
        <is>
          <t>June 2026</t>
        </is>
      </c>
      <c r="B154" s="191" t="inlineStr">
        <is>
          <t>Support Training</t>
        </is>
      </c>
      <c r="C154" s="191" t="inlineStr">
        <is>
          <t>NRI Sales and Acop Training session</t>
        </is>
      </c>
      <c r="D154" s="191" t="inlineStr">
        <is>
          <t>2026-06-08</t>
        </is>
      </c>
      <c r="E154" s="191" t="inlineStr">
        <is>
          <t>—</t>
        </is>
      </c>
      <c r="F154" s="191" t="inlineStr">
        <is>
          <t>Girish A</t>
        </is>
      </c>
      <c r="G154" s="191" t="inlineStr">
        <is>
          <t>Offline</t>
        </is>
      </c>
      <c r="H154" s="191" t="inlineStr">
        <is>
          <t>NRI Sales and Acop Training session</t>
        </is>
      </c>
      <c r="I154" s="192" t="n">
        <v>6.5</v>
      </c>
    </row>
    <row r="155" ht="15.75" customHeight="1" s="156">
      <c r="A155" s="191" t="inlineStr">
        <is>
          <t>June 2026</t>
        </is>
      </c>
      <c r="B155" s="191" t="inlineStr">
        <is>
          <t>Support Training</t>
        </is>
      </c>
      <c r="C155" s="191" t="inlineStr">
        <is>
          <t>NRI Sales and Acop Training session</t>
        </is>
      </c>
      <c r="D155" s="191" t="inlineStr">
        <is>
          <t>2026-06-09</t>
        </is>
      </c>
      <c r="E155" s="191" t="inlineStr">
        <is>
          <t>—</t>
        </is>
      </c>
      <c r="F155" s="191" t="inlineStr">
        <is>
          <t>Girish A</t>
        </is>
      </c>
      <c r="G155" s="191" t="inlineStr">
        <is>
          <t>Offline</t>
        </is>
      </c>
      <c r="H155" s="191" t="inlineStr">
        <is>
          <t>NRI Sales and Acop Training session</t>
        </is>
      </c>
      <c r="I155" s="192" t="n">
        <v>6.5</v>
      </c>
    </row>
    <row r="156" ht="15.75" customHeight="1" s="156">
      <c r="A156" s="191" t="inlineStr">
        <is>
          <t>June 2026</t>
        </is>
      </c>
      <c r="B156" s="191" t="inlineStr">
        <is>
          <t>Support Training</t>
        </is>
      </c>
      <c r="C156" s="191" t="inlineStr">
        <is>
          <t>Communicate 360- Renu's team</t>
        </is>
      </c>
      <c r="D156" s="191" t="inlineStr">
        <is>
          <t>2026-06-09</t>
        </is>
      </c>
      <c r="E156" s="191" t="inlineStr">
        <is>
          <t>—</t>
        </is>
      </c>
      <c r="F156" s="191" t="inlineStr">
        <is>
          <t>Freeda Reshma Dsouza</t>
        </is>
      </c>
      <c r="G156" s="191" t="inlineStr">
        <is>
          <t>Offline</t>
        </is>
      </c>
      <c r="H156" s="191" t="inlineStr">
        <is>
          <t>Communicate 360- Renu's team</t>
        </is>
      </c>
      <c r="I156" s="192" t="n">
        <v>2.25</v>
      </c>
    </row>
    <row r="157" ht="15.75" customHeight="1" s="156">
      <c r="A157" s="191" t="inlineStr">
        <is>
          <t>June 2026</t>
        </is>
      </c>
      <c r="B157" s="191" t="inlineStr">
        <is>
          <t>Support Training</t>
        </is>
      </c>
      <c r="C157" s="191" t="inlineStr">
        <is>
          <t>Communicate 360- Renu's team</t>
        </is>
      </c>
      <c r="D157" s="191" t="inlineStr">
        <is>
          <t>2026-06-10</t>
        </is>
      </c>
      <c r="E157" s="191" t="inlineStr">
        <is>
          <t>—</t>
        </is>
      </c>
      <c r="F157" s="191" t="inlineStr">
        <is>
          <t>Freeda Reshma Dsouza</t>
        </is>
      </c>
      <c r="G157" s="191" t="inlineStr">
        <is>
          <t>Offline</t>
        </is>
      </c>
      <c r="H157" s="191" t="inlineStr">
        <is>
          <t>Communicate 360- Renu's team</t>
        </is>
      </c>
      <c r="I157" s="192" t="n">
        <v>2.25</v>
      </c>
    </row>
    <row r="158" ht="15.75" customHeight="1" s="156">
      <c r="A158" s="191" t="inlineStr">
        <is>
          <t>June 2026</t>
        </is>
      </c>
      <c r="B158" s="191" t="inlineStr">
        <is>
          <t>Assessment</t>
        </is>
      </c>
      <c r="C158" s="191" t="inlineStr">
        <is>
          <t>Review on Pick &amp; Speak &amp; mockcall - Renu team</t>
        </is>
      </c>
      <c r="D158" s="191" t="inlineStr">
        <is>
          <t>2026-06-10</t>
        </is>
      </c>
      <c r="E158" s="191" t="inlineStr">
        <is>
          <t>—</t>
        </is>
      </c>
      <c r="F158" s="191" t="inlineStr">
        <is>
          <t>Harish Bhat</t>
        </is>
      </c>
      <c r="G158" s="191" t="inlineStr">
        <is>
          <t>Offline</t>
        </is>
      </c>
      <c r="H158" s="191" t="inlineStr">
        <is>
          <t>Review on Pick &amp; Speak &amp; mockcall - Renu team</t>
        </is>
      </c>
      <c r="I158" s="192" t="n">
        <v>4</v>
      </c>
    </row>
    <row r="159" ht="15.75" customHeight="1" s="156">
      <c r="A159" s="191" t="inlineStr">
        <is>
          <t>June 2026</t>
        </is>
      </c>
      <c r="B159" s="191" t="inlineStr">
        <is>
          <t>Assessment</t>
        </is>
      </c>
      <c r="C159" s="191" t="inlineStr">
        <is>
          <t>Review on Pick &amp; Speak &amp; mockcall - Renu Team</t>
        </is>
      </c>
      <c r="D159" s="191" t="inlineStr">
        <is>
          <t>2026-06-08</t>
        </is>
      </c>
      <c r="E159" s="191" t="inlineStr">
        <is>
          <t>—</t>
        </is>
      </c>
      <c r="F159" s="191" t="inlineStr">
        <is>
          <t>Harish Bhat</t>
        </is>
      </c>
      <c r="G159" s="191" t="inlineStr">
        <is>
          <t>Offline</t>
        </is>
      </c>
      <c r="H159" s="191" t="inlineStr">
        <is>
          <t>Review on Pick &amp; Speak &amp; mockcall - Renu Team</t>
        </is>
      </c>
      <c r="I159" s="192" t="n">
        <v>4</v>
      </c>
    </row>
    <row r="160" ht="15.75" customHeight="1" s="156">
      <c r="A160" s="191" t="inlineStr">
        <is>
          <t>June 2026</t>
        </is>
      </c>
      <c r="B160" s="191" t="inlineStr">
        <is>
          <t>Assessment</t>
        </is>
      </c>
      <c r="C160" s="191" t="inlineStr">
        <is>
          <t>Review on Pick &amp; Speak &amp; mockcall Renu team</t>
        </is>
      </c>
      <c r="D160" s="191" t="inlineStr">
        <is>
          <t>2026-06-09</t>
        </is>
      </c>
      <c r="E160" s="191" t="inlineStr">
        <is>
          <t>—</t>
        </is>
      </c>
      <c r="F160" s="191" t="inlineStr">
        <is>
          <t>Harish Bhat</t>
        </is>
      </c>
      <c r="G160" s="191" t="inlineStr">
        <is>
          <t>Offline</t>
        </is>
      </c>
      <c r="H160" s="191" t="inlineStr">
        <is>
          <t>Review on Pick &amp; Speak &amp; mockcall Renu team</t>
        </is>
      </c>
      <c r="I160" s="192" t="n">
        <v>4</v>
      </c>
    </row>
    <row r="161" ht="15.75" customHeight="1" s="156">
      <c r="A161" s="191" t="inlineStr">
        <is>
          <t>June 2026</t>
        </is>
      </c>
      <c r="B161" s="191" t="inlineStr">
        <is>
          <t>Other</t>
        </is>
      </c>
      <c r="C161" s="191" t="inlineStr">
        <is>
          <t>Review on Pick &amp; Speak &amp; mockcall - Renu team</t>
        </is>
      </c>
      <c r="D161" s="191" t="inlineStr">
        <is>
          <t>2026-06-11</t>
        </is>
      </c>
      <c r="E161" s="191" t="inlineStr">
        <is>
          <t>—</t>
        </is>
      </c>
      <c r="F161" s="191" t="inlineStr">
        <is>
          <t>Harish Bhat</t>
        </is>
      </c>
      <c r="G161" s="191" t="inlineStr">
        <is>
          <t>Offline</t>
        </is>
      </c>
      <c r="H161" s="191" t="inlineStr">
        <is>
          <t>Review on Pick &amp; Speak &amp; mockcall - Renu team</t>
        </is>
      </c>
      <c r="I161" s="192" t="n">
        <v>3</v>
      </c>
    </row>
    <row r="162" ht="15.75" customHeight="1" s="156">
      <c r="A162" s="189" t="inlineStr">
        <is>
          <t>June 2026</t>
        </is>
      </c>
      <c r="B162" s="189" t="inlineStr">
        <is>
          <t>Other</t>
        </is>
      </c>
      <c r="C162" s="189" t="inlineStr">
        <is>
          <t>Candidates Interview</t>
        </is>
      </c>
      <c r="D162" s="189" t="inlineStr">
        <is>
          <t>2026-06-10</t>
        </is>
      </c>
      <c r="E162" s="189" t="inlineStr">
        <is>
          <t>—</t>
        </is>
      </c>
      <c r="F162" s="189" t="inlineStr">
        <is>
          <t>Harish Bhat</t>
        </is>
      </c>
      <c r="G162" s="189" t="inlineStr">
        <is>
          <t>Online</t>
        </is>
      </c>
      <c r="H162" s="189" t="inlineStr">
        <is>
          <t>Candidates Interview</t>
        </is>
      </c>
      <c r="I162" s="190" t="n">
        <v>0.75</v>
      </c>
    </row>
    <row r="163" ht="15.75" customHeight="1" s="156">
      <c r="A163" s="189" t="inlineStr">
        <is>
          <t>June 2026</t>
        </is>
      </c>
      <c r="B163" s="189" t="inlineStr">
        <is>
          <t>Other</t>
        </is>
      </c>
      <c r="C163" s="189" t="inlineStr">
        <is>
          <t>Candidates Interview</t>
        </is>
      </c>
      <c r="D163" s="189" t="inlineStr">
        <is>
          <t>2026-06-10</t>
        </is>
      </c>
      <c r="E163" s="189" t="inlineStr">
        <is>
          <t>—</t>
        </is>
      </c>
      <c r="F163" s="189" t="inlineStr">
        <is>
          <t>Harish Bhat</t>
        </is>
      </c>
      <c r="G163" s="189" t="inlineStr">
        <is>
          <t>Online</t>
        </is>
      </c>
      <c r="H163" s="189" t="inlineStr">
        <is>
          <t>Candidates Interview</t>
        </is>
      </c>
      <c r="I163" s="190" t="n">
        <v>1</v>
      </c>
    </row>
    <row r="164" ht="15.75" customHeight="1" s="156">
      <c r="A164" s="189" t="inlineStr">
        <is>
          <t>June 2026</t>
        </is>
      </c>
      <c r="B164" s="189" t="inlineStr">
        <is>
          <t>Other</t>
        </is>
      </c>
      <c r="C164" s="189" t="inlineStr">
        <is>
          <t>varsity tickets</t>
        </is>
      </c>
      <c r="D164" s="189" t="inlineStr">
        <is>
          <t>2026-06-08</t>
        </is>
      </c>
      <c r="E164" s="189" t="inlineStr">
        <is>
          <t>—</t>
        </is>
      </c>
      <c r="F164" s="189" t="inlineStr">
        <is>
          <t>Harish Bhat</t>
        </is>
      </c>
      <c r="G164" s="189" t="inlineStr">
        <is>
          <t>Online</t>
        </is>
      </c>
      <c r="H164" s="189" t="inlineStr">
        <is>
          <t>varsity tickets</t>
        </is>
      </c>
      <c r="I164" s="190" t="n">
        <v>0.25</v>
      </c>
    </row>
    <row r="165" ht="15.75" customHeight="1" s="156">
      <c r="A165" s="189" t="inlineStr">
        <is>
          <t>June 2026</t>
        </is>
      </c>
      <c r="B165" s="189" t="inlineStr">
        <is>
          <t>Other</t>
        </is>
      </c>
      <c r="C165" s="189" t="inlineStr">
        <is>
          <t>varsity tickets</t>
        </is>
      </c>
      <c r="D165" s="189" t="inlineStr">
        <is>
          <t>2026-06-09</t>
        </is>
      </c>
      <c r="E165" s="189" t="inlineStr">
        <is>
          <t>—</t>
        </is>
      </c>
      <c r="F165" s="189" t="inlineStr">
        <is>
          <t>Harish Bhat</t>
        </is>
      </c>
      <c r="G165" s="189" t="inlineStr">
        <is>
          <t>Online</t>
        </is>
      </c>
      <c r="H165" s="189" t="inlineStr">
        <is>
          <t>varsity tickets</t>
        </is>
      </c>
      <c r="I165" s="190" t="n">
        <v>0.25</v>
      </c>
    </row>
    <row r="166" ht="15.75" customHeight="1" s="156">
      <c r="A166" s="189" t="inlineStr">
        <is>
          <t>June 2026</t>
        </is>
      </c>
      <c r="B166" s="189" t="inlineStr">
        <is>
          <t>Support Training</t>
        </is>
      </c>
      <c r="C166" s="189" t="inlineStr">
        <is>
          <t>varsity tickets</t>
        </is>
      </c>
      <c r="D166" s="189" t="inlineStr">
        <is>
          <t>2026-06-10</t>
        </is>
      </c>
      <c r="E166" s="189" t="inlineStr">
        <is>
          <t>—</t>
        </is>
      </c>
      <c r="F166" s="189" t="inlineStr">
        <is>
          <t>Harish Bhat</t>
        </is>
      </c>
      <c r="G166" s="189" t="inlineStr">
        <is>
          <t>Online</t>
        </is>
      </c>
      <c r="H166" s="189" t="inlineStr">
        <is>
          <t>varsity tickets</t>
        </is>
      </c>
      <c r="I166" s="190" t="n">
        <v>0.25</v>
      </c>
    </row>
    <row r="167" ht="15.75" customHeight="1" s="156">
      <c r="A167" s="191" t="inlineStr">
        <is>
          <t>June 2026</t>
        </is>
      </c>
      <c r="B167" s="191" t="inlineStr">
        <is>
          <t>Support Training</t>
        </is>
      </c>
      <c r="C167" s="191" t="inlineStr">
        <is>
          <t>Communicate 360- Renu's team</t>
        </is>
      </c>
      <c r="D167" s="191" t="inlineStr">
        <is>
          <t>2026-06-11</t>
        </is>
      </c>
      <c r="E167" s="191" t="inlineStr">
        <is>
          <t>—</t>
        </is>
      </c>
      <c r="F167" s="191" t="inlineStr">
        <is>
          <t>Freeda Reshma Dsouza</t>
        </is>
      </c>
      <c r="G167" s="191" t="inlineStr">
        <is>
          <t>Offline</t>
        </is>
      </c>
      <c r="H167" s="191" t="inlineStr">
        <is>
          <t>Communicate 360- Renu's team</t>
        </is>
      </c>
      <c r="I167" s="192" t="n">
        <v>2.5</v>
      </c>
    </row>
    <row r="168" ht="15.75" customHeight="1" s="156">
      <c r="A168" s="189" t="inlineStr">
        <is>
          <t>June 2026</t>
        </is>
      </c>
      <c r="B168" s="189" t="inlineStr">
        <is>
          <t>Support Training</t>
        </is>
      </c>
      <c r="C168" s="189" t="inlineStr">
        <is>
          <t>Review on Pick &amp; Speak -</t>
        </is>
      </c>
      <c r="D168" s="189" t="inlineStr">
        <is>
          <t>2026-06-11</t>
        </is>
      </c>
      <c r="E168" s="189" t="inlineStr">
        <is>
          <t>—</t>
        </is>
      </c>
      <c r="F168" s="189" t="inlineStr">
        <is>
          <t>Freeda Reshma Dsouza</t>
        </is>
      </c>
      <c r="G168" s="189" t="inlineStr">
        <is>
          <t>Online</t>
        </is>
      </c>
      <c r="H168" s="189" t="inlineStr">
        <is>
          <t>Review on Pick &amp; Speak -</t>
        </is>
      </c>
      <c r="I168" s="190" t="n">
        <v>1.25</v>
      </c>
    </row>
    <row r="169" ht="15.75" customHeight="1" s="156">
      <c r="A169" s="189" t="inlineStr">
        <is>
          <t>June 2026</t>
        </is>
      </c>
      <c r="B169" s="189" t="inlineStr">
        <is>
          <t>Other</t>
        </is>
      </c>
      <c r="C169" s="189" t="inlineStr">
        <is>
          <t>Candidates Interview</t>
        </is>
      </c>
      <c r="D169" s="189" t="inlineStr">
        <is>
          <t>2026-06-12</t>
        </is>
      </c>
      <c r="E169" s="189" t="inlineStr">
        <is>
          <t>—</t>
        </is>
      </c>
      <c r="F169" s="189" t="inlineStr">
        <is>
          <t>Harish Bhat</t>
        </is>
      </c>
      <c r="G169" s="189" t="inlineStr">
        <is>
          <t>Online</t>
        </is>
      </c>
      <c r="H169" s="189" t="inlineStr">
        <is>
          <t>Candidates Interview</t>
        </is>
      </c>
      <c r="I169" s="190" t="n">
        <v>1</v>
      </c>
    </row>
    <row r="170" ht="15.75" customHeight="1" s="156">
      <c r="A170" s="189" t="inlineStr">
        <is>
          <t>June 2026</t>
        </is>
      </c>
      <c r="B170" s="189" t="inlineStr">
        <is>
          <t>Other</t>
        </is>
      </c>
      <c r="C170" s="189" t="inlineStr">
        <is>
          <t>varsity tickets</t>
        </is>
      </c>
      <c r="D170" s="189" t="inlineStr">
        <is>
          <t>2026-06-11</t>
        </is>
      </c>
      <c r="E170" s="189" t="inlineStr">
        <is>
          <t>—</t>
        </is>
      </c>
      <c r="F170" s="189" t="inlineStr">
        <is>
          <t>Harish Bhat</t>
        </is>
      </c>
      <c r="G170" s="189" t="inlineStr">
        <is>
          <t>Online</t>
        </is>
      </c>
      <c r="H170" s="189" t="inlineStr">
        <is>
          <t>varsity tickets</t>
        </is>
      </c>
      <c r="I170" s="190" t="n">
        <v>0.25</v>
      </c>
    </row>
    <row r="171" ht="15.75" customHeight="1" s="156">
      <c r="A171" s="189" t="inlineStr">
        <is>
          <t>June 2026</t>
        </is>
      </c>
      <c r="B171" s="189" t="inlineStr">
        <is>
          <t>Other</t>
        </is>
      </c>
      <c r="C171" s="189" t="inlineStr">
        <is>
          <t>Candidates Interview</t>
        </is>
      </c>
      <c r="D171" s="189" t="inlineStr">
        <is>
          <t>2026-06-11</t>
        </is>
      </c>
      <c r="E171" s="189" t="inlineStr">
        <is>
          <t>—</t>
        </is>
      </c>
      <c r="F171" s="189" t="inlineStr">
        <is>
          <t>Harish Bhat</t>
        </is>
      </c>
      <c r="G171" s="189" t="inlineStr">
        <is>
          <t>Online</t>
        </is>
      </c>
      <c r="H171" s="189" t="inlineStr">
        <is>
          <t>Candidates Interview</t>
        </is>
      </c>
      <c r="I171" s="190" t="n">
        <v>1</v>
      </c>
    </row>
    <row r="172" ht="15.75" customHeight="1" s="156">
      <c r="A172" s="189" t="inlineStr">
        <is>
          <t>June 2026</t>
        </is>
      </c>
      <c r="B172" s="189" t="inlineStr">
        <is>
          <t>Other</t>
        </is>
      </c>
      <c r="C172" s="189" t="inlineStr">
        <is>
          <t>Candidates Interview</t>
        </is>
      </c>
      <c r="D172" s="189" t="inlineStr">
        <is>
          <t>2026-06-15</t>
        </is>
      </c>
      <c r="E172" s="189" t="inlineStr">
        <is>
          <t>—</t>
        </is>
      </c>
      <c r="F172" s="189" t="inlineStr">
        <is>
          <t>Harish Bhat</t>
        </is>
      </c>
      <c r="G172" s="189" t="inlineStr">
        <is>
          <t>Online</t>
        </is>
      </c>
      <c r="H172" s="189" t="inlineStr">
        <is>
          <t>Candidates Interview</t>
        </is>
      </c>
      <c r="I172" s="190" t="n">
        <v>1</v>
      </c>
    </row>
    <row r="173" ht="15.75" customHeight="1" s="156">
      <c r="A173" s="189" t="inlineStr">
        <is>
          <t>June 2026</t>
        </is>
      </c>
      <c r="B173" s="189" t="inlineStr">
        <is>
          <t>Other</t>
        </is>
      </c>
      <c r="C173" s="189" t="inlineStr">
        <is>
          <t>Varsity exam schedule</t>
        </is>
      </c>
      <c r="D173" s="189" t="inlineStr">
        <is>
          <t>2026-06-12</t>
        </is>
      </c>
      <c r="E173" s="189" t="inlineStr">
        <is>
          <t>—</t>
        </is>
      </c>
      <c r="F173" s="189" t="inlineStr">
        <is>
          <t>Harish Bhat</t>
        </is>
      </c>
      <c r="G173" s="189" t="inlineStr">
        <is>
          <t>Online</t>
        </is>
      </c>
      <c r="H173" s="189" t="inlineStr">
        <is>
          <t>Varsity exam schedule</t>
        </is>
      </c>
      <c r="I173" s="190" t="n">
        <v>0.5</v>
      </c>
    </row>
    <row r="174" ht="15.75" customHeight="1" s="156">
      <c r="A174" s="189" t="inlineStr">
        <is>
          <t>June 2026</t>
        </is>
      </c>
      <c r="B174" s="189" t="inlineStr">
        <is>
          <t>Assessment</t>
        </is>
      </c>
      <c r="C174" s="189" t="inlineStr">
        <is>
          <t>Review on mockcall - Renu team</t>
        </is>
      </c>
      <c r="D174" s="189" t="inlineStr">
        <is>
          <t>2026-06-12</t>
        </is>
      </c>
      <c r="E174" s="189" t="inlineStr">
        <is>
          <t>—</t>
        </is>
      </c>
      <c r="F174" s="189" t="inlineStr">
        <is>
          <t>Harish Bhat</t>
        </is>
      </c>
      <c r="G174" s="189" t="inlineStr">
        <is>
          <t>Online</t>
        </is>
      </c>
      <c r="H174" s="189" t="inlineStr">
        <is>
          <t>Review on mockcall - Renu team</t>
        </is>
      </c>
      <c r="I174" s="190" t="n">
        <v>4</v>
      </c>
    </row>
    <row r="175" ht="15.75" customHeight="1" s="156">
      <c r="A175" s="189" t="inlineStr">
        <is>
          <t>June 2026</t>
        </is>
      </c>
      <c r="B175" s="189" t="inlineStr">
        <is>
          <t>Assessment</t>
        </is>
      </c>
      <c r="C175" s="189" t="inlineStr">
        <is>
          <t>Managers training  Assesments discussion &amp; Preperation</t>
        </is>
      </c>
      <c r="D175" s="189" t="inlineStr">
        <is>
          <t>2026-06-15</t>
        </is>
      </c>
      <c r="E175" s="189" t="inlineStr">
        <is>
          <t>—</t>
        </is>
      </c>
      <c r="F175" s="189" t="inlineStr">
        <is>
          <t>Harish Bhat</t>
        </is>
      </c>
      <c r="G175" s="189" t="inlineStr">
        <is>
          <t>Online</t>
        </is>
      </c>
      <c r="H175" s="189" t="inlineStr">
        <is>
          <t>Managers training  Assesments discussion &amp; Preperation</t>
        </is>
      </c>
      <c r="I175" s="190" t="n">
        <v>2</v>
      </c>
    </row>
    <row r="176" ht="15.75" customHeight="1" s="156">
      <c r="A176" s="189" t="inlineStr">
        <is>
          <t>June 2026</t>
        </is>
      </c>
      <c r="B176" s="189" t="inlineStr">
        <is>
          <t>Support Training</t>
        </is>
      </c>
      <c r="C176" s="189" t="inlineStr">
        <is>
          <t>Ticket's team mock ticket details preperation</t>
        </is>
      </c>
      <c r="D176" s="189" t="inlineStr">
        <is>
          <t>2026-06-15</t>
        </is>
      </c>
      <c r="E176" s="189" t="inlineStr">
        <is>
          <t>—</t>
        </is>
      </c>
      <c r="F176" s="189" t="inlineStr">
        <is>
          <t>Harish Bhat</t>
        </is>
      </c>
      <c r="G176" s="189" t="inlineStr">
        <is>
          <t>Online</t>
        </is>
      </c>
      <c r="H176" s="189" t="inlineStr">
        <is>
          <t>Ticket's team mock ticket details preperation</t>
        </is>
      </c>
      <c r="I176" s="190" t="n">
        <v>0.5</v>
      </c>
    </row>
    <row r="177" ht="15.75" customHeight="1" s="156">
      <c r="A177" s="189" t="inlineStr">
        <is>
          <t>June 2026</t>
        </is>
      </c>
      <c r="B177" s="189" t="inlineStr">
        <is>
          <t>Assessment</t>
        </is>
      </c>
      <c r="C177" s="189" t="inlineStr">
        <is>
          <t>Review on Pick &amp; Speak &amp; mockcall - Renu team</t>
        </is>
      </c>
      <c r="D177" s="189" t="inlineStr">
        <is>
          <t>2026-06-16</t>
        </is>
      </c>
      <c r="E177" s="189" t="inlineStr">
        <is>
          <t>—</t>
        </is>
      </c>
      <c r="F177" s="189" t="inlineStr">
        <is>
          <t>Harish Bhat</t>
        </is>
      </c>
      <c r="G177" s="189" t="inlineStr">
        <is>
          <t>Online</t>
        </is>
      </c>
      <c r="H177" s="189" t="inlineStr">
        <is>
          <t>Review on Pick &amp; Speak &amp; mockcall - Renu team</t>
        </is>
      </c>
      <c r="I177" s="190" t="n">
        <v>3</v>
      </c>
    </row>
    <row r="178" ht="15.75" customHeight="1" s="156">
      <c r="A178" s="191" t="inlineStr">
        <is>
          <t>June 2026</t>
        </is>
      </c>
      <c r="B178" s="191" t="inlineStr">
        <is>
          <t>Other</t>
        </is>
      </c>
      <c r="C178" s="191" t="inlineStr">
        <is>
          <t>Reports email schedule for Pradeep &amp; Priyanka's team</t>
        </is>
      </c>
      <c r="D178" s="191" t="inlineStr">
        <is>
          <t>2026-06-16</t>
        </is>
      </c>
      <c r="E178" s="191" t="inlineStr">
        <is>
          <t>—</t>
        </is>
      </c>
      <c r="F178" s="191" t="inlineStr">
        <is>
          <t>Harish Bhat</t>
        </is>
      </c>
      <c r="G178" s="191" t="inlineStr">
        <is>
          <t>Offline</t>
        </is>
      </c>
      <c r="H178" s="191" t="inlineStr">
        <is>
          <t>Reports email schedule for Pradeep &amp; Priyanka's team</t>
        </is>
      </c>
      <c r="I178" s="192" t="n">
        <v>1</v>
      </c>
    </row>
    <row r="179" ht="15.75" customHeight="1" s="156">
      <c r="A179" s="189" t="inlineStr">
        <is>
          <t>June 2026</t>
        </is>
      </c>
      <c r="B179" s="189" t="inlineStr">
        <is>
          <t>Other</t>
        </is>
      </c>
      <c r="C179" s="189" t="inlineStr">
        <is>
          <t>Candidates Interview</t>
        </is>
      </c>
      <c r="D179" s="189" t="inlineStr">
        <is>
          <t>2026-06-17</t>
        </is>
      </c>
      <c r="E179" s="189" t="inlineStr">
        <is>
          <t>—</t>
        </is>
      </c>
      <c r="F179" s="189" t="inlineStr">
        <is>
          <t>Harish Bhat</t>
        </is>
      </c>
      <c r="G179" s="189" t="inlineStr">
        <is>
          <t>Online</t>
        </is>
      </c>
      <c r="H179" s="189" t="inlineStr">
        <is>
          <t>Candidates Interview</t>
        </is>
      </c>
      <c r="I179" s="190" t="n">
        <v>1</v>
      </c>
    </row>
    <row r="180" ht="15.75" customHeight="1" s="156">
      <c r="A180" s="189" t="inlineStr">
        <is>
          <t>June 2026</t>
        </is>
      </c>
      <c r="B180" s="189" t="inlineStr">
        <is>
          <t>Support Training</t>
        </is>
      </c>
      <c r="C180" s="189" t="inlineStr">
        <is>
          <t>Managers training Assesments Preperation</t>
        </is>
      </c>
      <c r="D180" s="189" t="inlineStr">
        <is>
          <t>2026-06-16</t>
        </is>
      </c>
      <c r="E180" s="189" t="inlineStr">
        <is>
          <t>—</t>
        </is>
      </c>
      <c r="F180" s="189" t="inlineStr">
        <is>
          <t>Harish Bhat</t>
        </is>
      </c>
      <c r="G180" s="189" t="inlineStr">
        <is>
          <t>Online</t>
        </is>
      </c>
      <c r="H180" s="189" t="inlineStr">
        <is>
          <t>Managers training Assesments Preperation</t>
        </is>
      </c>
      <c r="I180" s="190" t="n">
        <v>1</v>
      </c>
    </row>
    <row r="181" ht="15.75" customHeight="1" s="156">
      <c r="A181" s="191" t="inlineStr">
        <is>
          <t>June 2026</t>
        </is>
      </c>
      <c r="B181" s="191" t="inlineStr">
        <is>
          <t>Other</t>
        </is>
      </c>
      <c r="C181" s="191" t="inlineStr">
        <is>
          <t>Varsity script work</t>
        </is>
      </c>
      <c r="D181" s="191" t="inlineStr">
        <is>
          <t>2026-06-13</t>
        </is>
      </c>
      <c r="E181" s="191" t="inlineStr">
        <is>
          <t>—</t>
        </is>
      </c>
      <c r="F181" s="191" t="inlineStr">
        <is>
          <t>Harish Bhat</t>
        </is>
      </c>
      <c r="G181" s="191" t="inlineStr">
        <is>
          <t>Offline</t>
        </is>
      </c>
      <c r="H181" s="191" t="inlineStr">
        <is>
          <t>Varsity script work</t>
        </is>
      </c>
      <c r="I181" s="192" t="n">
        <v>3</v>
      </c>
    </row>
    <row r="182" ht="15.75" customHeight="1" s="156">
      <c r="A182" s="189" t="inlineStr">
        <is>
          <t>June 2026</t>
        </is>
      </c>
      <c r="B182" s="189" t="inlineStr">
        <is>
          <t>Other</t>
        </is>
      </c>
      <c r="C182" s="189" t="inlineStr">
        <is>
          <t>Candidates Interview</t>
        </is>
      </c>
      <c r="D182" s="189" t="inlineStr">
        <is>
          <t>2026-06-17</t>
        </is>
      </c>
      <c r="E182" s="189" t="inlineStr">
        <is>
          <t>—</t>
        </is>
      </c>
      <c r="F182" s="189" t="inlineStr">
        <is>
          <t>Harish Bhat</t>
        </is>
      </c>
      <c r="G182" s="189" t="inlineStr">
        <is>
          <t>Online</t>
        </is>
      </c>
      <c r="H182" s="189" t="inlineStr">
        <is>
          <t>Candidates Interview</t>
        </is>
      </c>
      <c r="I182" s="190" t="n">
        <v>1</v>
      </c>
    </row>
    <row r="183" ht="15.75" customHeight="1" s="156">
      <c r="A183" s="189" t="inlineStr">
        <is>
          <t>June 2026</t>
        </is>
      </c>
      <c r="B183" s="189" t="inlineStr">
        <is>
          <t>Other</t>
        </is>
      </c>
      <c r="C183" s="189" t="inlineStr">
        <is>
          <t>Candidates Interview</t>
        </is>
      </c>
      <c r="D183" s="189" t="inlineStr">
        <is>
          <t>2026-06-17</t>
        </is>
      </c>
      <c r="E183" s="189" t="inlineStr">
        <is>
          <t>—</t>
        </is>
      </c>
      <c r="F183" s="189" t="inlineStr">
        <is>
          <t>Harish Bhat</t>
        </is>
      </c>
      <c r="G183" s="189" t="inlineStr">
        <is>
          <t>Online</t>
        </is>
      </c>
      <c r="H183" s="189" t="inlineStr">
        <is>
          <t>Candidates Interview</t>
        </is>
      </c>
      <c r="I183" s="190" t="n">
        <v>1</v>
      </c>
    </row>
    <row r="184" ht="15.75" customHeight="1" s="156">
      <c r="A184" s="191" t="inlineStr">
        <is>
          <t>June 2026</t>
        </is>
      </c>
      <c r="B184" s="191" t="inlineStr">
        <is>
          <t>Support Training</t>
        </is>
      </c>
      <c r="C184" s="191" t="inlineStr">
        <is>
          <t>Communicate 360- Renu's team</t>
        </is>
      </c>
      <c r="D184" s="191" t="inlineStr">
        <is>
          <t>2026-06-16</t>
        </is>
      </c>
      <c r="E184" s="191" t="inlineStr">
        <is>
          <t>—</t>
        </is>
      </c>
      <c r="F184" s="191" t="inlineStr">
        <is>
          <t>Freeda Reshma Dsouza</t>
        </is>
      </c>
      <c r="G184" s="191" t="inlineStr">
        <is>
          <t>Offline</t>
        </is>
      </c>
      <c r="H184" s="191" t="inlineStr">
        <is>
          <t>Communicate 360- Renu's team</t>
        </is>
      </c>
      <c r="I184" s="192" t="n">
        <v>2.5</v>
      </c>
    </row>
    <row r="185" ht="15.75" customHeight="1" s="156">
      <c r="A185" s="191" t="inlineStr">
        <is>
          <t>June 2026</t>
        </is>
      </c>
      <c r="B185" s="191" t="inlineStr">
        <is>
          <t>Support Training</t>
        </is>
      </c>
      <c r="C185" s="191" t="inlineStr">
        <is>
          <t>Communicate 360- Renu's team</t>
        </is>
      </c>
      <c r="D185" s="191" t="inlineStr">
        <is>
          <t>2026-06-16</t>
        </is>
      </c>
      <c r="E185" s="191" t="inlineStr">
        <is>
          <t>—</t>
        </is>
      </c>
      <c r="F185" s="191" t="inlineStr">
        <is>
          <t>Freeda Reshma Dsouza</t>
        </is>
      </c>
      <c r="G185" s="191" t="inlineStr">
        <is>
          <t>Offline</t>
        </is>
      </c>
      <c r="H185" s="191" t="inlineStr">
        <is>
          <t>Communicate 360- Renu's team</t>
        </is>
      </c>
      <c r="I185" s="192" t="n">
        <v>2.5</v>
      </c>
    </row>
    <row r="186" ht="15.75" customHeight="1" s="156">
      <c r="A186" s="191" t="inlineStr">
        <is>
          <t>June 2026</t>
        </is>
      </c>
      <c r="B186" s="191" t="inlineStr">
        <is>
          <t>Support Training</t>
        </is>
      </c>
      <c r="C186" s="191" t="inlineStr">
        <is>
          <t>Communicate 360- Renu's team</t>
        </is>
      </c>
      <c r="D186" s="191" t="inlineStr">
        <is>
          <t>2026-06-17</t>
        </is>
      </c>
      <c r="E186" s="191" t="inlineStr">
        <is>
          <t>—</t>
        </is>
      </c>
      <c r="F186" s="191" t="inlineStr">
        <is>
          <t>Freeda Reshma Dsouza</t>
        </is>
      </c>
      <c r="G186" s="191" t="inlineStr">
        <is>
          <t>Offline</t>
        </is>
      </c>
      <c r="H186" s="191" t="inlineStr">
        <is>
          <t>Communicate 360- Renu's team</t>
        </is>
      </c>
      <c r="I186" s="192" t="n">
        <v>2.5</v>
      </c>
    </row>
    <row r="187" ht="15.75" customHeight="1" s="156">
      <c r="A187" s="191" t="inlineStr">
        <is>
          <t>June 2026</t>
        </is>
      </c>
      <c r="B187" s="191" t="inlineStr">
        <is>
          <t>Support Training</t>
        </is>
      </c>
      <c r="C187" s="191" t="inlineStr">
        <is>
          <t>Communicate 360- Renu's team</t>
        </is>
      </c>
      <c r="D187" s="191" t="inlineStr">
        <is>
          <t>2026-06-17</t>
        </is>
      </c>
      <c r="E187" s="191" t="inlineStr">
        <is>
          <t>—</t>
        </is>
      </c>
      <c r="F187" s="191" t="inlineStr">
        <is>
          <t>Freeda Reshma Dsouza</t>
        </is>
      </c>
      <c r="G187" s="191" t="inlineStr">
        <is>
          <t>Offline</t>
        </is>
      </c>
      <c r="H187" s="191" t="inlineStr">
        <is>
          <t>Communicate 360- Renu's team</t>
        </is>
      </c>
      <c r="I187" s="192" t="n">
        <v>2.5</v>
      </c>
    </row>
    <row r="188" ht="15.75" customHeight="1" s="156">
      <c r="A188" s="191" t="inlineStr">
        <is>
          <t>June 2026</t>
        </is>
      </c>
      <c r="B188" s="191" t="inlineStr">
        <is>
          <t>Support Training</t>
        </is>
      </c>
      <c r="C188" s="191" t="inlineStr">
        <is>
          <t>Communicate 360- Renu's team</t>
        </is>
      </c>
      <c r="D188" s="191" t="inlineStr">
        <is>
          <t>2026-06-18</t>
        </is>
      </c>
      <c r="E188" s="191" t="inlineStr">
        <is>
          <t>—</t>
        </is>
      </c>
      <c r="F188" s="191" t="inlineStr">
        <is>
          <t>Freeda Reshma Dsouza</t>
        </is>
      </c>
      <c r="G188" s="191" t="inlineStr">
        <is>
          <t>Offline</t>
        </is>
      </c>
      <c r="H188" s="191" t="inlineStr">
        <is>
          <t>Communicate 360- Renu's team</t>
        </is>
      </c>
      <c r="I188" s="192" t="n">
        <v>2.5</v>
      </c>
    </row>
    <row r="189" ht="15.75" customHeight="1" s="156">
      <c r="A189" s="191" t="inlineStr">
        <is>
          <t>June 2026</t>
        </is>
      </c>
      <c r="B189" s="191" t="inlineStr">
        <is>
          <t>Support Training</t>
        </is>
      </c>
      <c r="C189" s="191" t="inlineStr">
        <is>
          <t>Communicate 360- Renu's team</t>
        </is>
      </c>
      <c r="D189" s="191" t="inlineStr">
        <is>
          <t>2026-06-18</t>
        </is>
      </c>
      <c r="E189" s="191" t="inlineStr">
        <is>
          <t>—</t>
        </is>
      </c>
      <c r="F189" s="191" t="inlineStr">
        <is>
          <t>Freeda Reshma Dsouza</t>
        </is>
      </c>
      <c r="G189" s="191" t="inlineStr">
        <is>
          <t>Offline</t>
        </is>
      </c>
      <c r="H189" s="191" t="inlineStr">
        <is>
          <t>Communicate 360- Renu's team</t>
        </is>
      </c>
      <c r="I189" s="192" t="n">
        <v>2.5</v>
      </c>
    </row>
    <row r="190" ht="15.75" customHeight="1" s="156">
      <c r="A190" s="191" t="inlineStr">
        <is>
          <t>June 2026</t>
        </is>
      </c>
      <c r="B190" s="191" t="inlineStr">
        <is>
          <t>Support Training</t>
        </is>
      </c>
      <c r="C190" s="191" t="inlineStr">
        <is>
          <t>Communicate 360- Renu's team</t>
        </is>
      </c>
      <c r="D190" s="191" t="inlineStr">
        <is>
          <t>2026-06-19</t>
        </is>
      </c>
      <c r="E190" s="191" t="inlineStr">
        <is>
          <t>—</t>
        </is>
      </c>
      <c r="F190" s="191" t="inlineStr">
        <is>
          <t>Freeda Reshma Dsouza</t>
        </is>
      </c>
      <c r="G190" s="191" t="inlineStr">
        <is>
          <t>Offline</t>
        </is>
      </c>
      <c r="H190" s="191" t="inlineStr">
        <is>
          <t>Communicate 360- Renu's team</t>
        </is>
      </c>
      <c r="I190" s="192" t="n">
        <v>2.75</v>
      </c>
    </row>
    <row r="191" ht="15.75" customHeight="1" s="156">
      <c r="A191" s="191" t="inlineStr">
        <is>
          <t>June 2026</t>
        </is>
      </c>
      <c r="B191" s="191" t="inlineStr">
        <is>
          <t>Support Training</t>
        </is>
      </c>
      <c r="C191" s="191" t="inlineStr">
        <is>
          <t>Communicate 360- Renu's team</t>
        </is>
      </c>
      <c r="D191" s="191" t="inlineStr">
        <is>
          <t>2026-06-19</t>
        </is>
      </c>
      <c r="E191" s="191" t="inlineStr">
        <is>
          <t>—</t>
        </is>
      </c>
      <c r="F191" s="191" t="inlineStr">
        <is>
          <t>Freeda Reshma Dsouza</t>
        </is>
      </c>
      <c r="G191" s="191" t="inlineStr">
        <is>
          <t>Offline</t>
        </is>
      </c>
      <c r="H191" s="191" t="inlineStr">
        <is>
          <t>Communicate 360- Renu's team</t>
        </is>
      </c>
      <c r="I191" s="192" t="n">
        <v>2.75</v>
      </c>
    </row>
    <row r="192" ht="15.75" customHeight="1" s="156">
      <c r="A192" s="191" t="inlineStr">
        <is>
          <t>June 2026</t>
        </is>
      </c>
      <c r="B192" s="191" t="inlineStr">
        <is>
          <t>Support Training</t>
        </is>
      </c>
      <c r="C192" s="191" t="inlineStr">
        <is>
          <t>Tickets team Communicate 360 training</t>
        </is>
      </c>
      <c r="D192" s="191" t="inlineStr">
        <is>
          <t>2026-06-29</t>
        </is>
      </c>
      <c r="E192" s="191" t="inlineStr">
        <is>
          <t>—</t>
        </is>
      </c>
      <c r="F192" s="191" t="inlineStr">
        <is>
          <t>Freeda Reshma Dsouza</t>
        </is>
      </c>
      <c r="G192" s="191" t="inlineStr">
        <is>
          <t>Offline</t>
        </is>
      </c>
      <c r="H192" s="191" t="inlineStr">
        <is>
          <t>Tickets team Communicate 360 training</t>
        </is>
      </c>
      <c r="I192" s="192" t="n">
        <v>2.5</v>
      </c>
    </row>
    <row r="193" ht="15.75" customHeight="1" s="156">
      <c r="A193" s="191" t="inlineStr">
        <is>
          <t>June 2026</t>
        </is>
      </c>
      <c r="B193" s="191" t="inlineStr">
        <is>
          <t>Support Training</t>
        </is>
      </c>
      <c r="C193" s="191" t="inlineStr">
        <is>
          <t>Tickets team communicate 360 training</t>
        </is>
      </c>
      <c r="D193" s="191" t="inlineStr">
        <is>
          <t>2026-06-30</t>
        </is>
      </c>
      <c r="E193" s="191" t="inlineStr">
        <is>
          <t>—</t>
        </is>
      </c>
      <c r="F193" s="191" t="inlineStr">
        <is>
          <t>Freeda Reshma Dsouza</t>
        </is>
      </c>
      <c r="G193" s="191" t="inlineStr">
        <is>
          <t>Offline</t>
        </is>
      </c>
      <c r="H193" s="191" t="inlineStr">
        <is>
          <t>Tickets team communicate 360 training</t>
        </is>
      </c>
      <c r="I193" s="192" t="n">
        <v>2.5</v>
      </c>
    </row>
    <row r="194" ht="15.75" customHeight="1" s="156">
      <c r="A194" s="191" t="inlineStr">
        <is>
          <t>June 2026</t>
        </is>
      </c>
      <c r="B194" s="191" t="inlineStr">
        <is>
          <t>Support Training</t>
        </is>
      </c>
      <c r="C194" s="191" t="inlineStr">
        <is>
          <t>Tickets team communicate 360 training</t>
        </is>
      </c>
      <c r="D194" s="191" t="inlineStr">
        <is>
          <t>2026-06-30</t>
        </is>
      </c>
      <c r="E194" s="191" t="inlineStr">
        <is>
          <t>—</t>
        </is>
      </c>
      <c r="F194" s="191" t="inlineStr">
        <is>
          <t>Freeda Reshma Dsouza</t>
        </is>
      </c>
      <c r="G194" s="191" t="inlineStr">
        <is>
          <t>Offline</t>
        </is>
      </c>
      <c r="H194" s="191" t="inlineStr">
        <is>
          <t>Tickets team communicate 360 training</t>
        </is>
      </c>
      <c r="I194" s="192" t="n">
        <v>2.5</v>
      </c>
    </row>
    <row r="195" ht="15.75" customHeight="1" s="156">
      <c r="A195" s="191" t="inlineStr">
        <is>
          <t>June 2026</t>
        </is>
      </c>
      <c r="B195" s="191" t="inlineStr">
        <is>
          <t>Support Training</t>
        </is>
      </c>
      <c r="C195" s="191" t="inlineStr">
        <is>
          <t>NRI Sales and Acop Training session</t>
        </is>
      </c>
      <c r="D195" s="191" t="inlineStr">
        <is>
          <t>2026-06-10</t>
        </is>
      </c>
      <c r="E195" s="191" t="inlineStr">
        <is>
          <t>—</t>
        </is>
      </c>
      <c r="F195" s="191" t="inlineStr">
        <is>
          <t>Girish A</t>
        </is>
      </c>
      <c r="G195" s="191" t="inlineStr">
        <is>
          <t>Offline</t>
        </is>
      </c>
      <c r="H195" s="191" t="inlineStr">
        <is>
          <t>NRI Sales and Acop Training session</t>
        </is>
      </c>
      <c r="I195" s="192" t="n">
        <v>6.5</v>
      </c>
    </row>
    <row r="196" ht="15.75" customHeight="1" s="156">
      <c r="A196" s="191" t="inlineStr">
        <is>
          <t>June 2026</t>
        </is>
      </c>
      <c r="B196" s="191" t="inlineStr">
        <is>
          <t>Support Training</t>
        </is>
      </c>
      <c r="C196" s="191" t="inlineStr">
        <is>
          <t>NRI Sales and Acop Training session</t>
        </is>
      </c>
      <c r="D196" s="191" t="inlineStr">
        <is>
          <t>2026-06-11</t>
        </is>
      </c>
      <c r="E196" s="191" t="inlineStr">
        <is>
          <t>—</t>
        </is>
      </c>
      <c r="F196" s="191" t="inlineStr">
        <is>
          <t>Girish A</t>
        </is>
      </c>
      <c r="G196" s="191" t="inlineStr">
        <is>
          <t>Offline</t>
        </is>
      </c>
      <c r="H196" s="191" t="inlineStr">
        <is>
          <t>NRI Sales and Acop Training session</t>
        </is>
      </c>
      <c r="I196" s="192" t="n">
        <v>6.5</v>
      </c>
    </row>
    <row r="197" ht="15.75" customHeight="1" s="156">
      <c r="A197" s="191" t="inlineStr">
        <is>
          <t>June 2026</t>
        </is>
      </c>
      <c r="B197" s="191" t="inlineStr">
        <is>
          <t>Support Training</t>
        </is>
      </c>
      <c r="C197" s="191" t="inlineStr">
        <is>
          <t>NRI Sales and Acop Training session</t>
        </is>
      </c>
      <c r="D197" s="191" t="inlineStr">
        <is>
          <t>2026-06-12</t>
        </is>
      </c>
      <c r="E197" s="191" t="inlineStr">
        <is>
          <t>—</t>
        </is>
      </c>
      <c r="F197" s="191" t="inlineStr">
        <is>
          <t>Girish A</t>
        </is>
      </c>
      <c r="G197" s="191" t="inlineStr">
        <is>
          <t>Offline</t>
        </is>
      </c>
      <c r="H197" s="191" t="inlineStr">
        <is>
          <t>NRI Sales and Acop Training session</t>
        </is>
      </c>
      <c r="I197" s="192" t="n">
        <v>6.5</v>
      </c>
    </row>
    <row r="198" ht="15.75" customHeight="1" s="156">
      <c r="A198" s="191" t="inlineStr">
        <is>
          <t>June 2026</t>
        </is>
      </c>
      <c r="B198" s="191" t="inlineStr">
        <is>
          <t>Support Training</t>
        </is>
      </c>
      <c r="C198" s="191" t="inlineStr">
        <is>
          <t>NRI Sales and Acop Training session</t>
        </is>
      </c>
      <c r="D198" s="191" t="inlineStr">
        <is>
          <t>2026-06-15</t>
        </is>
      </c>
      <c r="E198" s="191" t="inlineStr">
        <is>
          <t>—</t>
        </is>
      </c>
      <c r="F198" s="191" t="inlineStr">
        <is>
          <t>Girish A</t>
        </is>
      </c>
      <c r="G198" s="191" t="inlineStr">
        <is>
          <t>Offline</t>
        </is>
      </c>
      <c r="H198" s="191" t="inlineStr">
        <is>
          <t>NRI Sales and Acop Training session</t>
        </is>
      </c>
      <c r="I198" s="192" t="n">
        <v>6.5</v>
      </c>
    </row>
    <row r="199" ht="15.75" customHeight="1" s="156">
      <c r="A199" s="191" t="inlineStr">
        <is>
          <t>June 2026</t>
        </is>
      </c>
      <c r="B199" s="191" t="inlineStr">
        <is>
          <t>Support Training</t>
        </is>
      </c>
      <c r="C199" s="191" t="inlineStr">
        <is>
          <t>NRI Sales and Acop Training session</t>
        </is>
      </c>
      <c r="D199" s="191" t="inlineStr">
        <is>
          <t>2026-06-16</t>
        </is>
      </c>
      <c r="E199" s="191" t="inlineStr">
        <is>
          <t>—</t>
        </is>
      </c>
      <c r="F199" s="191" t="inlineStr">
        <is>
          <t>Girish A</t>
        </is>
      </c>
      <c r="G199" s="191" t="inlineStr">
        <is>
          <t>Offline</t>
        </is>
      </c>
      <c r="H199" s="191" t="inlineStr">
        <is>
          <t>NRI Sales and Acop Training session</t>
        </is>
      </c>
      <c r="I199" s="192" t="n">
        <v>6.5</v>
      </c>
    </row>
    <row r="200" ht="15.75" customHeight="1" s="156">
      <c r="A200" s="191" t="inlineStr">
        <is>
          <t>June 2026</t>
        </is>
      </c>
      <c r="B200" s="191" t="inlineStr">
        <is>
          <t>Support Training</t>
        </is>
      </c>
      <c r="C200" s="191" t="inlineStr">
        <is>
          <t>NRI Sales and Acop Training session</t>
        </is>
      </c>
      <c r="D200" s="191" t="inlineStr">
        <is>
          <t>2026-06-17</t>
        </is>
      </c>
      <c r="E200" s="191" t="inlineStr">
        <is>
          <t>—</t>
        </is>
      </c>
      <c r="F200" s="191" t="inlineStr">
        <is>
          <t>Girish A</t>
        </is>
      </c>
      <c r="G200" s="191" t="inlineStr">
        <is>
          <t>Offline</t>
        </is>
      </c>
      <c r="H200" s="191" t="inlineStr">
        <is>
          <t>NRI Sales and Acop Training session</t>
        </is>
      </c>
      <c r="I200" s="192" t="n">
        <v>6.5</v>
      </c>
    </row>
    <row r="201" ht="15.75" customHeight="1" s="156">
      <c r="A201" s="191" t="inlineStr">
        <is>
          <t>June 2026</t>
        </is>
      </c>
      <c r="B201" s="191" t="inlineStr">
        <is>
          <t>Support Training</t>
        </is>
      </c>
      <c r="C201" s="191" t="inlineStr">
        <is>
          <t>NRI Sales and Acop Training session</t>
        </is>
      </c>
      <c r="D201" s="191" t="inlineStr">
        <is>
          <t>2026-06-18</t>
        </is>
      </c>
      <c r="E201" s="191" t="inlineStr">
        <is>
          <t>—</t>
        </is>
      </c>
      <c r="F201" s="191" t="inlineStr">
        <is>
          <t>Girish A</t>
        </is>
      </c>
      <c r="G201" s="191" t="inlineStr">
        <is>
          <t>Offline</t>
        </is>
      </c>
      <c r="H201" s="191" t="inlineStr">
        <is>
          <t>NRI Sales and Acop Training session</t>
        </is>
      </c>
      <c r="I201" s="192" t="n">
        <v>6.5</v>
      </c>
    </row>
    <row r="202" ht="15.75" customHeight="1" s="156">
      <c r="A202" s="191" t="inlineStr">
        <is>
          <t>June 2026</t>
        </is>
      </c>
      <c r="B202" s="191" t="inlineStr">
        <is>
          <t>Support Training</t>
        </is>
      </c>
      <c r="C202" s="191" t="inlineStr">
        <is>
          <t>NRI Sales and Acop Training session</t>
        </is>
      </c>
      <c r="D202" s="191" t="inlineStr">
        <is>
          <t>2026-06-19</t>
        </is>
      </c>
      <c r="E202" s="191" t="inlineStr">
        <is>
          <t>—</t>
        </is>
      </c>
      <c r="F202" s="191" t="inlineStr">
        <is>
          <t>Girish A</t>
        </is>
      </c>
      <c r="G202" s="191" t="inlineStr">
        <is>
          <t>Offline</t>
        </is>
      </c>
      <c r="H202" s="191" t="inlineStr">
        <is>
          <t>NRI Sales and Acop Training session</t>
        </is>
      </c>
      <c r="I202" s="192" t="n">
        <v>6.5</v>
      </c>
    </row>
    <row r="203" ht="15.75" customHeight="1" s="156">
      <c r="A203" s="191" t="inlineStr">
        <is>
          <t>June 2026</t>
        </is>
      </c>
      <c r="B203" s="191" t="inlineStr">
        <is>
          <t>Other</t>
        </is>
      </c>
      <c r="C203" s="191" t="inlineStr">
        <is>
          <t>NRI Sales and Acop Question paper preparation</t>
        </is>
      </c>
      <c r="D203" s="191" t="inlineStr">
        <is>
          <t>2026-06-20</t>
        </is>
      </c>
      <c r="E203" s="191" t="inlineStr">
        <is>
          <t>—</t>
        </is>
      </c>
      <c r="F203" s="191" t="inlineStr">
        <is>
          <t>Girish A</t>
        </is>
      </c>
      <c r="G203" s="191" t="inlineStr">
        <is>
          <t>Offline</t>
        </is>
      </c>
      <c r="H203" s="191" t="inlineStr">
        <is>
          <t>NRI Sales and Acop Question paper preparation</t>
        </is>
      </c>
      <c r="I203" s="192" t="n">
        <v>2.5</v>
      </c>
    </row>
    <row r="204" ht="15.75" customHeight="1" s="156">
      <c r="A204" s="189" t="inlineStr">
        <is>
          <t>June 2026</t>
        </is>
      </c>
      <c r="B204" s="189" t="inlineStr">
        <is>
          <t>Other</t>
        </is>
      </c>
      <c r="C204" s="189" t="inlineStr">
        <is>
          <t>LMS Tool testing and conducting Exam</t>
        </is>
      </c>
      <c r="D204" s="189" t="inlineStr">
        <is>
          <t>2026-06-25</t>
        </is>
      </c>
      <c r="E204" s="189" t="inlineStr">
        <is>
          <t>—</t>
        </is>
      </c>
      <c r="F204" s="189" t="inlineStr">
        <is>
          <t>Girish A</t>
        </is>
      </c>
      <c r="G204" s="189" t="inlineStr">
        <is>
          <t>Online</t>
        </is>
      </c>
      <c r="H204" s="189" t="inlineStr">
        <is>
          <t>LMS Tool testing and conducting Exam</t>
        </is>
      </c>
      <c r="I204" s="190" t="n">
        <v>4</v>
      </c>
    </row>
    <row r="205" ht="15.75" customHeight="1" s="156">
      <c r="A205" s="191" t="inlineStr">
        <is>
          <t>June 2026</t>
        </is>
      </c>
      <c r="B205" s="191" t="inlineStr">
        <is>
          <t>Support Training</t>
        </is>
      </c>
      <c r="C205" s="191" t="inlineStr">
        <is>
          <t>NRI Sales and Acop Training session</t>
        </is>
      </c>
      <c r="D205" s="191" t="inlineStr">
        <is>
          <t>2026-06-22</t>
        </is>
      </c>
      <c r="E205" s="191" t="inlineStr">
        <is>
          <t>—</t>
        </is>
      </c>
      <c r="F205" s="191" t="inlineStr">
        <is>
          <t>Girish A</t>
        </is>
      </c>
      <c r="G205" s="191" t="inlineStr">
        <is>
          <t>Offline</t>
        </is>
      </c>
      <c r="H205" s="191" t="inlineStr">
        <is>
          <t>NRI Sales and Acop Training session</t>
        </is>
      </c>
      <c r="I205" s="192" t="n">
        <v>6.5</v>
      </c>
    </row>
    <row r="206" ht="15.75" customHeight="1" s="156">
      <c r="A206" s="191" t="inlineStr">
        <is>
          <t>June 2026</t>
        </is>
      </c>
      <c r="B206" s="191" t="inlineStr">
        <is>
          <t>Support Training</t>
        </is>
      </c>
      <c r="C206" s="191" t="inlineStr">
        <is>
          <t>NRI Sales and Acop Training session</t>
        </is>
      </c>
      <c r="D206" s="191" t="inlineStr">
        <is>
          <t>2026-06-23</t>
        </is>
      </c>
      <c r="E206" s="191" t="inlineStr">
        <is>
          <t>—</t>
        </is>
      </c>
      <c r="F206" s="191" t="inlineStr">
        <is>
          <t>Girish A</t>
        </is>
      </c>
      <c r="G206" s="191" t="inlineStr">
        <is>
          <t>Offline</t>
        </is>
      </c>
      <c r="H206" s="191" t="inlineStr">
        <is>
          <t>NRI Sales and Acop Training session</t>
        </is>
      </c>
      <c r="I206" s="192" t="n">
        <v>6.5</v>
      </c>
    </row>
    <row r="207" ht="15.75" customHeight="1" s="156">
      <c r="A207" s="189" t="inlineStr">
        <is>
          <t>June 2026</t>
        </is>
      </c>
      <c r="B207" s="189" t="inlineStr">
        <is>
          <t>Support Training</t>
        </is>
      </c>
      <c r="C207" s="189" t="inlineStr">
        <is>
          <t>NRI Sales and Acop Training session (Soft skills)</t>
        </is>
      </c>
      <c r="D207" s="189" t="inlineStr">
        <is>
          <t>2026-06-24</t>
        </is>
      </c>
      <c r="E207" s="189" t="inlineStr">
        <is>
          <t>—</t>
        </is>
      </c>
      <c r="F207" s="189" t="inlineStr">
        <is>
          <t>Girish A</t>
        </is>
      </c>
      <c r="G207" s="189" t="inlineStr">
        <is>
          <t>Online</t>
        </is>
      </c>
      <c r="H207" s="189" t="inlineStr">
        <is>
          <t>NRI Sales and Acop Training session (Soft skills)</t>
        </is>
      </c>
      <c r="I207" s="190" t="n">
        <v>5</v>
      </c>
    </row>
    <row r="208" ht="15.75" customHeight="1" s="156">
      <c r="A208" s="189" t="inlineStr">
        <is>
          <t>June 2026</t>
        </is>
      </c>
      <c r="B208" s="189" t="inlineStr">
        <is>
          <t>Support Training</t>
        </is>
      </c>
      <c r="C208" s="189" t="inlineStr">
        <is>
          <t>NRI Sales and Acop OJT</t>
        </is>
      </c>
      <c r="D208" s="189" t="inlineStr">
        <is>
          <t>2026-06-30</t>
        </is>
      </c>
      <c r="E208" s="189" t="inlineStr">
        <is>
          <t>—</t>
        </is>
      </c>
      <c r="F208" s="189" t="inlineStr">
        <is>
          <t>Girish A</t>
        </is>
      </c>
      <c r="G208" s="189" t="inlineStr">
        <is>
          <t>Online</t>
        </is>
      </c>
      <c r="H208" s="189" t="inlineStr">
        <is>
          <t>NRI Sales and Acop OJT</t>
        </is>
      </c>
      <c r="I208" s="190" t="n">
        <v>2</v>
      </c>
    </row>
    <row r="209" ht="15.75" customHeight="1" s="156">
      <c r="A209" s="191" t="inlineStr">
        <is>
          <t>June 2026</t>
        </is>
      </c>
      <c r="B209" s="191" t="inlineStr">
        <is>
          <t>Support Training</t>
        </is>
      </c>
      <c r="C209" s="191" t="inlineStr">
        <is>
          <t>Soft Skills training - New Hire - NRI sales</t>
        </is>
      </c>
      <c r="D209" s="191" t="inlineStr">
        <is>
          <t>2026-06-24</t>
        </is>
      </c>
      <c r="E209" s="191" t="inlineStr">
        <is>
          <t>—</t>
        </is>
      </c>
      <c r="F209" s="191" t="inlineStr">
        <is>
          <t>Freeda Reshma Dsouza</t>
        </is>
      </c>
      <c r="G209" s="191" t="inlineStr">
        <is>
          <t>Offline</t>
        </is>
      </c>
      <c r="H209" s="191" t="inlineStr">
        <is>
          <t>Soft Skills training - New Hire - NRI sales</t>
        </is>
      </c>
      <c r="I209" s="192" t="n">
        <v>4.5</v>
      </c>
    </row>
    <row r="210" ht="15.75" customHeight="1" s="156">
      <c r="A210" s="189" t="inlineStr">
        <is>
          <t>June 2026</t>
        </is>
      </c>
      <c r="B210" s="189" t="inlineStr">
        <is>
          <t>Other</t>
        </is>
      </c>
      <c r="C210" s="189" t="inlineStr">
        <is>
          <t>Candidates Interview</t>
        </is>
      </c>
      <c r="D210" s="189" t="inlineStr">
        <is>
          <t>2026-06-25</t>
        </is>
      </c>
      <c r="E210" s="189" t="inlineStr">
        <is>
          <t>—</t>
        </is>
      </c>
      <c r="F210" s="189" t="inlineStr">
        <is>
          <t>Harish Bhat</t>
        </is>
      </c>
      <c r="G210" s="189" t="inlineStr">
        <is>
          <t>Online</t>
        </is>
      </c>
      <c r="H210" s="189" t="inlineStr">
        <is>
          <t>Candidates Interview</t>
        </is>
      </c>
      <c r="I210" s="190" t="n">
        <v>1</v>
      </c>
    </row>
    <row r="211" ht="15.75" customHeight="1" s="156">
      <c r="A211" s="189" t="inlineStr">
        <is>
          <t>June 2026</t>
        </is>
      </c>
      <c r="B211" s="189" t="inlineStr">
        <is>
          <t>Other</t>
        </is>
      </c>
      <c r="C211" s="189" t="inlineStr">
        <is>
          <t>Candidates Interview</t>
        </is>
      </c>
      <c r="D211" s="189" t="inlineStr">
        <is>
          <t>2026-06-19</t>
        </is>
      </c>
      <c r="E211" s="189" t="inlineStr">
        <is>
          <t>—</t>
        </is>
      </c>
      <c r="F211" s="189" t="inlineStr">
        <is>
          <t>Harish Bhat</t>
        </is>
      </c>
      <c r="G211" s="189" t="inlineStr">
        <is>
          <t>Online</t>
        </is>
      </c>
      <c r="H211" s="189" t="inlineStr">
        <is>
          <t>Candidates Interview</t>
        </is>
      </c>
      <c r="I211" s="190" t="n">
        <v>1</v>
      </c>
    </row>
    <row r="212" ht="15.75" customHeight="1" s="156">
      <c r="A212" s="189" t="inlineStr">
        <is>
          <t>June 2026</t>
        </is>
      </c>
      <c r="B212" s="189" t="inlineStr">
        <is>
          <t>Assessment</t>
        </is>
      </c>
      <c r="C212" s="189" t="inlineStr">
        <is>
          <t>Review on Pick &amp; Speak &amp; mockcall - Renu team</t>
        </is>
      </c>
      <c r="D212" s="189" t="inlineStr">
        <is>
          <t>2026-06-18</t>
        </is>
      </c>
      <c r="E212" s="189" t="inlineStr">
        <is>
          <t>—</t>
        </is>
      </c>
      <c r="F212" s="189" t="inlineStr">
        <is>
          <t>Harish Bhat</t>
        </is>
      </c>
      <c r="G212" s="189" t="inlineStr">
        <is>
          <t>Online</t>
        </is>
      </c>
      <c r="H212" s="189" t="inlineStr">
        <is>
          <t>Review on Pick &amp; Speak &amp; mockcall - Renu team</t>
        </is>
      </c>
      <c r="I212" s="190" t="n">
        <v>3</v>
      </c>
    </row>
    <row r="213" ht="15.75" customHeight="1" s="156">
      <c r="A213" s="189" t="inlineStr">
        <is>
          <t>June 2026</t>
        </is>
      </c>
      <c r="B213" s="189" t="inlineStr">
        <is>
          <t>Support Training</t>
        </is>
      </c>
      <c r="C213" s="189" t="inlineStr">
        <is>
          <t>Libredesk Demo</t>
        </is>
      </c>
      <c r="D213" s="189" t="inlineStr">
        <is>
          <t>2026-06-30</t>
        </is>
      </c>
      <c r="E213" s="189" t="inlineStr">
        <is>
          <t>—</t>
        </is>
      </c>
      <c r="F213" s="189" t="inlineStr">
        <is>
          <t>Harish Bhat</t>
        </is>
      </c>
      <c r="G213" s="189" t="inlineStr">
        <is>
          <t>Online</t>
        </is>
      </c>
      <c r="H213" s="189" t="inlineStr">
        <is>
          <t>Libredesk Demo</t>
        </is>
      </c>
      <c r="I213" s="190" t="n">
        <v>1</v>
      </c>
    </row>
    <row r="214" ht="15.75" customHeight="1" s="156">
      <c r="A214" s="189" t="inlineStr">
        <is>
          <t>June 2026</t>
        </is>
      </c>
      <c r="B214" s="189" t="inlineStr">
        <is>
          <t>Support Training</t>
        </is>
      </c>
      <c r="C214" s="189" t="inlineStr">
        <is>
          <t>Libredesk session preperation</t>
        </is>
      </c>
      <c r="D214" s="189" t="inlineStr">
        <is>
          <t>2026-06-30</t>
        </is>
      </c>
      <c r="E214" s="189" t="inlineStr">
        <is>
          <t>—</t>
        </is>
      </c>
      <c r="F214" s="189" t="inlineStr">
        <is>
          <t>Harish Bhat</t>
        </is>
      </c>
      <c r="G214" s="189" t="inlineStr">
        <is>
          <t>Online</t>
        </is>
      </c>
      <c r="H214" s="189" t="inlineStr">
        <is>
          <t>Libredesk session preperation</t>
        </is>
      </c>
      <c r="I214" s="190" t="n">
        <v>2</v>
      </c>
    </row>
    <row r="215" ht="15.75" customHeight="1" s="156">
      <c r="A215" s="189" t="inlineStr">
        <is>
          <t>June 2026</t>
        </is>
      </c>
      <c r="B215" s="189" t="inlineStr">
        <is>
          <t>Support Training</t>
        </is>
      </c>
      <c r="C215" s="189" t="inlineStr">
        <is>
          <t>NRI Sales and Accop OJT</t>
        </is>
      </c>
      <c r="D215" s="189" t="inlineStr">
        <is>
          <t>2026-06-30</t>
        </is>
      </c>
      <c r="E215" s="189" t="inlineStr">
        <is>
          <t>—</t>
        </is>
      </c>
      <c r="F215" s="189" t="inlineStr">
        <is>
          <t>Harish Bhat</t>
        </is>
      </c>
      <c r="G215" s="189" t="inlineStr">
        <is>
          <t>Online</t>
        </is>
      </c>
      <c r="H215" s="189" t="inlineStr">
        <is>
          <t>NRI Sales and Accop OJT</t>
        </is>
      </c>
      <c r="I215" s="190" t="n">
        <v>2</v>
      </c>
    </row>
    <row r="216" ht="15.75" customHeight="1" s="156">
      <c r="A216" s="189" t="inlineStr">
        <is>
          <t>June 2026</t>
        </is>
      </c>
      <c r="B216" s="189" t="inlineStr">
        <is>
          <t>Other</t>
        </is>
      </c>
      <c r="C216" s="189" t="inlineStr">
        <is>
          <t>Managers &amp; NRI Assesments discussion</t>
        </is>
      </c>
      <c r="D216" s="189" t="inlineStr">
        <is>
          <t>2026-06-29</t>
        </is>
      </c>
      <c r="E216" s="189" t="inlineStr">
        <is>
          <t>—</t>
        </is>
      </c>
      <c r="F216" s="189" t="inlineStr">
        <is>
          <t>Harish Bhat</t>
        </is>
      </c>
      <c r="G216" s="189" t="inlineStr">
        <is>
          <t>Online</t>
        </is>
      </c>
      <c r="H216" s="189" t="inlineStr">
        <is>
          <t>Managers &amp; NRI Assesments discussion</t>
        </is>
      </c>
      <c r="I216" s="190" t="n">
        <v>1</v>
      </c>
    </row>
    <row r="217" ht="15.75" customHeight="1" s="156">
      <c r="A217" s="189" t="inlineStr">
        <is>
          <t>June 2026</t>
        </is>
      </c>
      <c r="B217" s="189" t="inlineStr">
        <is>
          <t>Other</t>
        </is>
      </c>
      <c r="C217" s="189" t="inlineStr">
        <is>
          <t>lms tool testing</t>
        </is>
      </c>
      <c r="D217" s="189" t="inlineStr">
        <is>
          <t>2026-06-25</t>
        </is>
      </c>
      <c r="E217" s="189" t="inlineStr">
        <is>
          <t>—</t>
        </is>
      </c>
      <c r="F217" s="189" t="inlineStr">
        <is>
          <t>Harish Bhat</t>
        </is>
      </c>
      <c r="G217" s="189" t="inlineStr">
        <is>
          <t>Online</t>
        </is>
      </c>
      <c r="H217" s="189" t="inlineStr">
        <is>
          <t>lms tool testing</t>
        </is>
      </c>
      <c r="I217" s="190" t="n">
        <v>4</v>
      </c>
    </row>
    <row r="218" ht="15.75" customHeight="1" s="156">
      <c r="A218" s="189" t="inlineStr">
        <is>
          <t>June 2026</t>
        </is>
      </c>
      <c r="B218" s="189" t="inlineStr">
        <is>
          <t>Other</t>
        </is>
      </c>
      <c r="C218" s="189" t="inlineStr">
        <is>
          <t>lms tool testing</t>
        </is>
      </c>
      <c r="D218" s="189" t="inlineStr">
        <is>
          <t>2026-06-24</t>
        </is>
      </c>
      <c r="E218" s="189" t="inlineStr">
        <is>
          <t>—</t>
        </is>
      </c>
      <c r="F218" s="189" t="inlineStr">
        <is>
          <t>Harish Bhat</t>
        </is>
      </c>
      <c r="G218" s="189" t="inlineStr">
        <is>
          <t>Online</t>
        </is>
      </c>
      <c r="H218" s="189" t="inlineStr">
        <is>
          <t>lms tool testing</t>
        </is>
      </c>
      <c r="I218" s="190" t="n">
        <v>4</v>
      </c>
    </row>
    <row r="219" ht="15.75" customHeight="1" s="156">
      <c r="A219" s="189" t="inlineStr">
        <is>
          <t>June 2026</t>
        </is>
      </c>
      <c r="B219" s="189" t="inlineStr">
        <is>
          <t>Other</t>
        </is>
      </c>
      <c r="C219" s="189" t="inlineStr">
        <is>
          <t>lms tool testing</t>
        </is>
      </c>
      <c r="D219" s="189" t="inlineStr">
        <is>
          <t>2026-06-23</t>
        </is>
      </c>
      <c r="E219" s="189" t="inlineStr">
        <is>
          <t>—</t>
        </is>
      </c>
      <c r="F219" s="189" t="inlineStr">
        <is>
          <t>Harish Bhat</t>
        </is>
      </c>
      <c r="G219" s="189" t="inlineStr">
        <is>
          <t>Online</t>
        </is>
      </c>
      <c r="H219" s="189" t="inlineStr">
        <is>
          <t>lms tool testing</t>
        </is>
      </c>
      <c r="I219" s="190" t="n">
        <v>4</v>
      </c>
    </row>
    <row r="220" ht="15.75" customHeight="1" s="156">
      <c r="A220" s="189" t="inlineStr">
        <is>
          <t>June 2026</t>
        </is>
      </c>
      <c r="B220" s="189" t="inlineStr">
        <is>
          <t>Other</t>
        </is>
      </c>
      <c r="C220" s="189" t="inlineStr">
        <is>
          <t>lms tool testing</t>
        </is>
      </c>
      <c r="D220" s="189" t="inlineStr">
        <is>
          <t>2026-06-22</t>
        </is>
      </c>
      <c r="E220" s="189" t="inlineStr">
        <is>
          <t>—</t>
        </is>
      </c>
      <c r="F220" s="189" t="inlineStr">
        <is>
          <t>Harish Bhat</t>
        </is>
      </c>
      <c r="G220" s="189" t="inlineStr">
        <is>
          <t>Online</t>
        </is>
      </c>
      <c r="H220" s="189" t="inlineStr">
        <is>
          <t>lms tool testing</t>
        </is>
      </c>
      <c r="I220" s="190" t="n">
        <v>4</v>
      </c>
    </row>
    <row r="221" ht="15.75" customHeight="1" s="156">
      <c r="A221" s="189" t="inlineStr">
        <is>
          <t>June 2026</t>
        </is>
      </c>
      <c r="B221" s="189" t="inlineStr">
        <is>
          <t>Other</t>
        </is>
      </c>
      <c r="C221" s="189" t="inlineStr">
        <is>
          <t>varsity tickets</t>
        </is>
      </c>
      <c r="D221" s="189" t="inlineStr">
        <is>
          <t>2026-06-12</t>
        </is>
      </c>
      <c r="E221" s="189" t="inlineStr">
        <is>
          <t>—</t>
        </is>
      </c>
      <c r="F221" s="189" t="inlineStr">
        <is>
          <t>Harish Bhat</t>
        </is>
      </c>
      <c r="G221" s="189" t="inlineStr">
        <is>
          <t>Online</t>
        </is>
      </c>
      <c r="H221" s="189" t="inlineStr">
        <is>
          <t>varsity tickets</t>
        </is>
      </c>
      <c r="I221" s="190" t="n">
        <v>0.25</v>
      </c>
    </row>
    <row r="222" ht="15.75" customHeight="1" s="156">
      <c r="A222" s="189" t="inlineStr">
        <is>
          <t>June 2026</t>
        </is>
      </c>
      <c r="B222" s="189" t="inlineStr">
        <is>
          <t>Other</t>
        </is>
      </c>
      <c r="C222" s="189" t="inlineStr">
        <is>
          <t>varsity tickets</t>
        </is>
      </c>
      <c r="D222" s="189" t="inlineStr">
        <is>
          <t>2026-06-15</t>
        </is>
      </c>
      <c r="E222" s="189" t="inlineStr">
        <is>
          <t>—</t>
        </is>
      </c>
      <c r="F222" s="189" t="inlineStr">
        <is>
          <t>Harish Bhat</t>
        </is>
      </c>
      <c r="G222" s="189" t="inlineStr">
        <is>
          <t>Online</t>
        </is>
      </c>
      <c r="H222" s="189" t="inlineStr">
        <is>
          <t>varsity tickets</t>
        </is>
      </c>
      <c r="I222" s="190" t="n">
        <v>0.25</v>
      </c>
    </row>
    <row r="223" ht="15.75" customHeight="1" s="156">
      <c r="A223" s="189" t="inlineStr">
        <is>
          <t>June 2026</t>
        </is>
      </c>
      <c r="B223" s="189" t="inlineStr">
        <is>
          <t>Other</t>
        </is>
      </c>
      <c r="C223" s="189" t="inlineStr">
        <is>
          <t>varsity tickets</t>
        </is>
      </c>
      <c r="D223" s="189" t="inlineStr">
        <is>
          <t>2026-06-16</t>
        </is>
      </c>
      <c r="E223" s="189" t="inlineStr">
        <is>
          <t>—</t>
        </is>
      </c>
      <c r="F223" s="189" t="inlineStr">
        <is>
          <t>Harish Bhat</t>
        </is>
      </c>
      <c r="G223" s="189" t="inlineStr">
        <is>
          <t>Online</t>
        </is>
      </c>
      <c r="H223" s="189" t="inlineStr">
        <is>
          <t>varsity tickets</t>
        </is>
      </c>
      <c r="I223" s="190" t="n">
        <v>0.25</v>
      </c>
    </row>
    <row r="224" ht="15.75" customHeight="1" s="156">
      <c r="A224" s="189" t="inlineStr">
        <is>
          <t>June 2026</t>
        </is>
      </c>
      <c r="B224" s="189" t="inlineStr">
        <is>
          <t>Other</t>
        </is>
      </c>
      <c r="C224" s="189" t="inlineStr">
        <is>
          <t>varsity tickets</t>
        </is>
      </c>
      <c r="D224" s="189" t="inlineStr">
        <is>
          <t>2026-06-17</t>
        </is>
      </c>
      <c r="E224" s="189" t="inlineStr">
        <is>
          <t>—</t>
        </is>
      </c>
      <c r="F224" s="189" t="inlineStr">
        <is>
          <t>Harish Bhat</t>
        </is>
      </c>
      <c r="G224" s="189" t="inlineStr">
        <is>
          <t>Online</t>
        </is>
      </c>
      <c r="H224" s="189" t="inlineStr">
        <is>
          <t>varsity tickets</t>
        </is>
      </c>
      <c r="I224" s="190" t="n">
        <v>0.25</v>
      </c>
    </row>
    <row r="225" ht="15.75" customHeight="1" s="156">
      <c r="A225" s="189" t="inlineStr">
        <is>
          <t>June 2026</t>
        </is>
      </c>
      <c r="B225" s="189" t="inlineStr">
        <is>
          <t>Other</t>
        </is>
      </c>
      <c r="C225" s="189" t="inlineStr">
        <is>
          <t>varsity tickets</t>
        </is>
      </c>
      <c r="D225" s="189" t="inlineStr">
        <is>
          <t>2026-06-18</t>
        </is>
      </c>
      <c r="E225" s="189" t="inlineStr">
        <is>
          <t>—</t>
        </is>
      </c>
      <c r="F225" s="189" t="inlineStr">
        <is>
          <t>Harish Bhat</t>
        </is>
      </c>
      <c r="G225" s="189" t="inlineStr">
        <is>
          <t>Online</t>
        </is>
      </c>
      <c r="H225" s="189" t="inlineStr">
        <is>
          <t>varsity tickets</t>
        </is>
      </c>
      <c r="I225" s="190" t="n">
        <v>0.25</v>
      </c>
    </row>
    <row r="226" ht="15.75" customHeight="1" s="156">
      <c r="A226" s="189" t="inlineStr">
        <is>
          <t>June 2026</t>
        </is>
      </c>
      <c r="B226" s="189" t="inlineStr">
        <is>
          <t>Other</t>
        </is>
      </c>
      <c r="C226" s="189" t="inlineStr">
        <is>
          <t>varsity tickets</t>
        </is>
      </c>
      <c r="D226" s="189" t="inlineStr">
        <is>
          <t>2026-06-19</t>
        </is>
      </c>
      <c r="E226" s="189" t="inlineStr">
        <is>
          <t>—</t>
        </is>
      </c>
      <c r="F226" s="189" t="inlineStr">
        <is>
          <t>Harish Bhat</t>
        </is>
      </c>
      <c r="G226" s="189" t="inlineStr">
        <is>
          <t>Online</t>
        </is>
      </c>
      <c r="H226" s="189" t="inlineStr">
        <is>
          <t>varsity tickets</t>
        </is>
      </c>
      <c r="I226" s="190" t="n">
        <v>0.25</v>
      </c>
    </row>
    <row r="227" ht="15.75" customHeight="1" s="156">
      <c r="A227" s="189" t="inlineStr">
        <is>
          <t>June 2026</t>
        </is>
      </c>
      <c r="B227" s="189" t="inlineStr">
        <is>
          <t>Other</t>
        </is>
      </c>
      <c r="C227" s="189" t="inlineStr">
        <is>
          <t>varsity tickets</t>
        </is>
      </c>
      <c r="D227" s="189" t="inlineStr">
        <is>
          <t>2026-06-22</t>
        </is>
      </c>
      <c r="E227" s="189" t="inlineStr">
        <is>
          <t>—</t>
        </is>
      </c>
      <c r="F227" s="189" t="inlineStr">
        <is>
          <t>Harish Bhat</t>
        </is>
      </c>
      <c r="G227" s="189" t="inlineStr">
        <is>
          <t>Online</t>
        </is>
      </c>
      <c r="H227" s="189" t="inlineStr">
        <is>
          <t>varsity tickets</t>
        </is>
      </c>
      <c r="I227" s="190" t="n">
        <v>0.25</v>
      </c>
    </row>
    <row r="228" ht="15.75" customHeight="1" s="156">
      <c r="A228" s="189" t="inlineStr">
        <is>
          <t>June 2026</t>
        </is>
      </c>
      <c r="B228" s="189" t="inlineStr">
        <is>
          <t>Other</t>
        </is>
      </c>
      <c r="C228" s="189" t="inlineStr">
        <is>
          <t>varsity tickets</t>
        </is>
      </c>
      <c r="D228" s="189" t="inlineStr">
        <is>
          <t>2026-06-23</t>
        </is>
      </c>
      <c r="E228" s="189" t="inlineStr">
        <is>
          <t>—</t>
        </is>
      </c>
      <c r="F228" s="189" t="inlineStr">
        <is>
          <t>Harish Bhat</t>
        </is>
      </c>
      <c r="G228" s="189" t="inlineStr">
        <is>
          <t>Online</t>
        </is>
      </c>
      <c r="H228" s="189" t="inlineStr">
        <is>
          <t>varsity tickets</t>
        </is>
      </c>
      <c r="I228" s="190" t="n">
        <v>0.25</v>
      </c>
    </row>
    <row r="229" ht="15.75" customHeight="1" s="156">
      <c r="A229" s="189" t="inlineStr">
        <is>
          <t>June 2026</t>
        </is>
      </c>
      <c r="B229" s="189" t="inlineStr">
        <is>
          <t>Other</t>
        </is>
      </c>
      <c r="C229" s="189" t="inlineStr">
        <is>
          <t>varsity tickets</t>
        </is>
      </c>
      <c r="D229" s="189" t="inlineStr">
        <is>
          <t>2026-06-24</t>
        </is>
      </c>
      <c r="E229" s="189" t="inlineStr">
        <is>
          <t>—</t>
        </is>
      </c>
      <c r="F229" s="189" t="inlineStr">
        <is>
          <t>Harish Bhat</t>
        </is>
      </c>
      <c r="G229" s="189" t="inlineStr">
        <is>
          <t>Online</t>
        </is>
      </c>
      <c r="H229" s="189" t="inlineStr">
        <is>
          <t>varsity tickets</t>
        </is>
      </c>
      <c r="I229" s="190" t="n">
        <v>0.25</v>
      </c>
    </row>
    <row r="230" ht="15.75" customHeight="1" s="156">
      <c r="A230" s="189" t="inlineStr">
        <is>
          <t>June 2026</t>
        </is>
      </c>
      <c r="B230" s="189" t="inlineStr">
        <is>
          <t>Other</t>
        </is>
      </c>
      <c r="C230" s="189" t="inlineStr">
        <is>
          <t>varsity tickets</t>
        </is>
      </c>
      <c r="D230" s="189" t="inlineStr">
        <is>
          <t>2026-06-25</t>
        </is>
      </c>
      <c r="E230" s="189" t="inlineStr">
        <is>
          <t>—</t>
        </is>
      </c>
      <c r="F230" s="189" t="inlineStr">
        <is>
          <t>Harish Bhat</t>
        </is>
      </c>
      <c r="G230" s="189" t="inlineStr">
        <is>
          <t>Online</t>
        </is>
      </c>
      <c r="H230" s="189" t="inlineStr">
        <is>
          <t>varsity tickets</t>
        </is>
      </c>
      <c r="I230" s="190" t="n">
        <v>0.25</v>
      </c>
    </row>
    <row r="231" ht="15.75" customHeight="1" s="156">
      <c r="A231" s="189" t="inlineStr">
        <is>
          <t>June 2026</t>
        </is>
      </c>
      <c r="B231" s="189" t="inlineStr">
        <is>
          <t>Other</t>
        </is>
      </c>
      <c r="C231" s="189" t="inlineStr">
        <is>
          <t>varsity tickets</t>
        </is>
      </c>
      <c r="D231" s="189" t="inlineStr">
        <is>
          <t>2026-06-29</t>
        </is>
      </c>
      <c r="E231" s="189" t="inlineStr">
        <is>
          <t>—</t>
        </is>
      </c>
      <c r="F231" s="189" t="inlineStr">
        <is>
          <t>Harish Bhat</t>
        </is>
      </c>
      <c r="G231" s="189" t="inlineStr">
        <is>
          <t>Online</t>
        </is>
      </c>
      <c r="H231" s="189" t="inlineStr">
        <is>
          <t>varsity tickets</t>
        </is>
      </c>
      <c r="I231" s="190" t="n">
        <v>0.25</v>
      </c>
    </row>
    <row r="232" ht="15.75" customHeight="1" s="156">
      <c r="A232" s="189" t="inlineStr">
        <is>
          <t>June 2026</t>
        </is>
      </c>
      <c r="B232" s="189" t="inlineStr">
        <is>
          <t>Other</t>
        </is>
      </c>
      <c r="C232" s="189" t="inlineStr">
        <is>
          <t>varsity tickets</t>
        </is>
      </c>
      <c r="D232" s="189" t="inlineStr">
        <is>
          <t>2026-06-30</t>
        </is>
      </c>
      <c r="E232" s="189" t="inlineStr">
        <is>
          <t>—</t>
        </is>
      </c>
      <c r="F232" s="189" t="inlineStr">
        <is>
          <t>Harish Bhat</t>
        </is>
      </c>
      <c r="G232" s="189" t="inlineStr">
        <is>
          <t>Online</t>
        </is>
      </c>
      <c r="H232" s="189" t="inlineStr">
        <is>
          <t>varsity tickets</t>
        </is>
      </c>
      <c r="I232" s="190" t="n">
        <v>0.25</v>
      </c>
    </row>
    <row r="233" ht="15.75" customHeight="1" s="156">
      <c r="A233" s="191" t="inlineStr">
        <is>
          <t>July 2026</t>
        </is>
      </c>
      <c r="B233" s="191" t="inlineStr">
        <is>
          <t>Support Training</t>
        </is>
      </c>
      <c r="C233" s="191" t="inlineStr">
        <is>
          <t>Tickets team communicate 360 training</t>
        </is>
      </c>
      <c r="D233" s="191" t="inlineStr">
        <is>
          <t>2026-07-01</t>
        </is>
      </c>
      <c r="E233" s="191" t="inlineStr">
        <is>
          <t>—</t>
        </is>
      </c>
      <c r="F233" s="191" t="inlineStr">
        <is>
          <t>Freeda Reshma Dsouza</t>
        </is>
      </c>
      <c r="G233" s="191" t="inlineStr">
        <is>
          <t>Offline</t>
        </is>
      </c>
      <c r="H233" s="191" t="inlineStr">
        <is>
          <t>Tickets team communicate 360 training</t>
        </is>
      </c>
      <c r="I233" s="192" t="n">
        <v>2.5</v>
      </c>
    </row>
    <row r="234" ht="15.75" customHeight="1" s="156">
      <c r="A234" s="191" t="inlineStr">
        <is>
          <t>July 2026</t>
        </is>
      </c>
      <c r="B234" s="191" t="inlineStr">
        <is>
          <t>Support Training</t>
        </is>
      </c>
      <c r="C234" s="191" t="inlineStr">
        <is>
          <t>Tickets team communicate 360 training</t>
        </is>
      </c>
      <c r="D234" s="191" t="inlineStr">
        <is>
          <t>2026-07-01</t>
        </is>
      </c>
      <c r="E234" s="191" t="inlineStr">
        <is>
          <t>—</t>
        </is>
      </c>
      <c r="F234" s="191" t="inlineStr">
        <is>
          <t>Freeda Reshma Dsouza</t>
        </is>
      </c>
      <c r="G234" s="191" t="inlineStr">
        <is>
          <t>Offline</t>
        </is>
      </c>
      <c r="H234" s="191" t="inlineStr">
        <is>
          <t>Tickets team communicate 360 training</t>
        </is>
      </c>
      <c r="I234" s="192" t="n">
        <v>3.5</v>
      </c>
    </row>
    <row r="235" ht="15.75" customHeight="1" s="156">
      <c r="A235" s="189" t="inlineStr">
        <is>
          <t>July 2026</t>
        </is>
      </c>
      <c r="B235" s="189" t="inlineStr">
        <is>
          <t>Support Training</t>
        </is>
      </c>
      <c r="C235" s="189" t="inlineStr">
        <is>
          <t>Tickets team P&amp;S reviewing</t>
        </is>
      </c>
      <c r="D235" s="189" t="inlineStr">
        <is>
          <t>2026-07-01</t>
        </is>
      </c>
      <c r="E235" s="189" t="inlineStr">
        <is>
          <t>—</t>
        </is>
      </c>
      <c r="F235" s="189" t="inlineStr">
        <is>
          <t>Girish A</t>
        </is>
      </c>
      <c r="G235" s="189" t="inlineStr">
        <is>
          <t>Online</t>
        </is>
      </c>
      <c r="H235" s="189" t="inlineStr">
        <is>
          <t>Tickets team P&amp;S reviewing</t>
        </is>
      </c>
      <c r="I235" s="190" t="n">
        <v>2.5</v>
      </c>
    </row>
    <row r="236" ht="15.75" customHeight="1" s="156">
      <c r="A236" s="189" t="inlineStr">
        <is>
          <t>July 2026</t>
        </is>
      </c>
      <c r="B236" s="189" t="inlineStr">
        <is>
          <t>Support Training</t>
        </is>
      </c>
      <c r="C236" s="189" t="inlineStr">
        <is>
          <t>Scheduling the email for the previous batch for Comm360</t>
        </is>
      </c>
      <c r="D236" s="189" t="inlineStr">
        <is>
          <t>2026-07-01</t>
        </is>
      </c>
      <c r="E236" s="189" t="inlineStr">
        <is>
          <t>—</t>
        </is>
      </c>
      <c r="F236" s="189" t="inlineStr">
        <is>
          <t>Girish A</t>
        </is>
      </c>
      <c r="G236" s="189" t="inlineStr">
        <is>
          <t>Online</t>
        </is>
      </c>
      <c r="H236" s="189" t="inlineStr">
        <is>
          <t>Scheduling the email for the previous batch for Comm360</t>
        </is>
      </c>
      <c r="I236" s="190" t="n">
        <v>2</v>
      </c>
    </row>
    <row r="237" ht="15.75" customHeight="1" s="156">
      <c r="A237" s="189" t="inlineStr">
        <is>
          <t>July 2026</t>
        </is>
      </c>
      <c r="B237" s="189" t="inlineStr">
        <is>
          <t>Other</t>
        </is>
      </c>
      <c r="C237" s="189" t="inlineStr">
        <is>
          <t>LMS tool testing</t>
        </is>
      </c>
      <c r="D237" s="189" t="inlineStr">
        <is>
          <t>2026-07-02</t>
        </is>
      </c>
      <c r="E237" s="189" t="inlineStr">
        <is>
          <t>—</t>
        </is>
      </c>
      <c r="F237" s="189" t="inlineStr">
        <is>
          <t>Girish A</t>
        </is>
      </c>
      <c r="G237" s="189" t="inlineStr">
        <is>
          <t>Online</t>
        </is>
      </c>
      <c r="H237" s="189" t="inlineStr">
        <is>
          <t>LMS tool testing</t>
        </is>
      </c>
      <c r="I237" s="190" t="n">
        <v>1.5</v>
      </c>
    </row>
    <row r="238" ht="15.75" customHeight="1" s="156">
      <c r="A238" s="189" t="inlineStr">
        <is>
          <t>July 2026</t>
        </is>
      </c>
      <c r="B238" s="189" t="inlineStr">
        <is>
          <t>Other</t>
        </is>
      </c>
      <c r="C238" s="189" t="inlineStr">
        <is>
          <t>LMS tool testing</t>
        </is>
      </c>
      <c r="D238" s="189" t="inlineStr">
        <is>
          <t>2026-07-03</t>
        </is>
      </c>
      <c r="E238" s="189" t="inlineStr">
        <is>
          <t>—</t>
        </is>
      </c>
      <c r="F238" s="189" t="inlineStr">
        <is>
          <t>Girish A</t>
        </is>
      </c>
      <c r="G238" s="189" t="inlineStr">
        <is>
          <t>Online</t>
        </is>
      </c>
      <c r="H238" s="189" t="inlineStr">
        <is>
          <t>LMS tool testing</t>
        </is>
      </c>
      <c r="I238" s="190" t="n">
        <v>1</v>
      </c>
    </row>
    <row r="239" ht="15.75" customHeight="1" s="156">
      <c r="A239" s="189" t="inlineStr">
        <is>
          <t>July 2026</t>
        </is>
      </c>
      <c r="B239" s="189" t="inlineStr">
        <is>
          <t>Support Training</t>
        </is>
      </c>
      <c r="C239" s="189" t="inlineStr">
        <is>
          <t>NRI OJT</t>
        </is>
      </c>
      <c r="D239" s="189" t="inlineStr">
        <is>
          <t>2026-07-02</t>
        </is>
      </c>
      <c r="E239" s="189" t="inlineStr">
        <is>
          <t>—</t>
        </is>
      </c>
      <c r="F239" s="189" t="inlineStr">
        <is>
          <t>Girish A</t>
        </is>
      </c>
      <c r="G239" s="189" t="inlineStr">
        <is>
          <t>Online</t>
        </is>
      </c>
      <c r="H239" s="189" t="inlineStr">
        <is>
          <t>NRI OJT</t>
        </is>
      </c>
      <c r="I239" s="190" t="n">
        <v>2</v>
      </c>
    </row>
    <row r="240" ht="15.75" customHeight="1" s="156">
      <c r="A240" s="189" t="inlineStr">
        <is>
          <t>July 2026</t>
        </is>
      </c>
      <c r="B240" s="189" t="inlineStr">
        <is>
          <t>Other</t>
        </is>
      </c>
      <c r="C240" s="189" t="inlineStr">
        <is>
          <t>SOP meeting</t>
        </is>
      </c>
      <c r="D240" s="189" t="inlineStr">
        <is>
          <t>2026-07-03</t>
        </is>
      </c>
      <c r="E240" s="189" t="inlineStr">
        <is>
          <t>—</t>
        </is>
      </c>
      <c r="F240" s="189" t="inlineStr">
        <is>
          <t>Girish A</t>
        </is>
      </c>
      <c r="G240" s="189" t="inlineStr">
        <is>
          <t>Online</t>
        </is>
      </c>
      <c r="H240" s="189" t="inlineStr">
        <is>
          <t>SOP meeting</t>
        </is>
      </c>
      <c r="I240" s="190" t="n">
        <v>1.5</v>
      </c>
    </row>
    <row r="241" ht="15.75" customHeight="1" s="156">
      <c r="A241" s="189" t="inlineStr">
        <is>
          <t>July 2026</t>
        </is>
      </c>
      <c r="B241" s="189" t="inlineStr">
        <is>
          <t>Other</t>
        </is>
      </c>
      <c r="C241" s="189" t="inlineStr">
        <is>
          <t>SOP meeting</t>
        </is>
      </c>
      <c r="D241" s="189" t="inlineStr">
        <is>
          <t>2026-07-03</t>
        </is>
      </c>
      <c r="E241" s="189" t="inlineStr">
        <is>
          <t>—</t>
        </is>
      </c>
      <c r="F241" s="189" t="inlineStr">
        <is>
          <t>Harish Bhat</t>
        </is>
      </c>
      <c r="G241" s="189" t="inlineStr">
        <is>
          <t>Online</t>
        </is>
      </c>
      <c r="H241" s="189" t="inlineStr">
        <is>
          <t>SOP meeting</t>
        </is>
      </c>
      <c r="I241" s="190" t="n">
        <v>1.5</v>
      </c>
    </row>
    <row r="242" ht="15.75" customHeight="1" s="156">
      <c r="A242" s="191" t="inlineStr">
        <is>
          <t>July 2026</t>
        </is>
      </c>
      <c r="B242" s="191" t="inlineStr">
        <is>
          <t>Other</t>
        </is>
      </c>
      <c r="C242" s="191" t="inlineStr">
        <is>
          <t>SOP Preparation</t>
        </is>
      </c>
      <c r="D242" s="191" t="inlineStr">
        <is>
          <t>2026-07-03</t>
        </is>
      </c>
      <c r="E242" s="191" t="inlineStr">
        <is>
          <t>—</t>
        </is>
      </c>
      <c r="F242" s="191" t="inlineStr">
        <is>
          <t>Harish Bhat</t>
        </is>
      </c>
      <c r="G242" s="191" t="inlineStr">
        <is>
          <t>Offline</t>
        </is>
      </c>
      <c r="H242" s="191" t="inlineStr">
        <is>
          <t>SOP Preparation</t>
        </is>
      </c>
      <c r="I242" s="192" t="n">
        <v>1</v>
      </c>
    </row>
    <row r="243" ht="15.75" customHeight="1" s="156">
      <c r="A243" s="191" t="inlineStr">
        <is>
          <t>July 2026</t>
        </is>
      </c>
      <c r="B243" s="191" t="inlineStr">
        <is>
          <t>Other</t>
        </is>
      </c>
      <c r="C243" s="191" t="inlineStr">
        <is>
          <t>Refresher training data segregation</t>
        </is>
      </c>
      <c r="D243" s="191" t="inlineStr">
        <is>
          <t>2026-07-03</t>
        </is>
      </c>
      <c r="E243" s="191" t="inlineStr">
        <is>
          <t>—</t>
        </is>
      </c>
      <c r="F243" s="191" t="inlineStr">
        <is>
          <t>Harish Bhat</t>
        </is>
      </c>
      <c r="G243" s="191" t="inlineStr">
        <is>
          <t>Offline</t>
        </is>
      </c>
      <c r="H243" s="191" t="inlineStr">
        <is>
          <t>Refresher training data segregation</t>
        </is>
      </c>
      <c r="I243" s="192" t="n">
        <v>2</v>
      </c>
    </row>
    <row r="244" ht="15.75" customHeight="1" s="156">
      <c r="A244" s="189" t="inlineStr">
        <is>
          <t>July 2026</t>
        </is>
      </c>
      <c r="B244" s="189" t="inlineStr">
        <is>
          <t>Assessment</t>
        </is>
      </c>
      <c r="C244" s="189" t="inlineStr">
        <is>
          <t>Tickets team P&amp;S review</t>
        </is>
      </c>
      <c r="D244" s="189" t="inlineStr">
        <is>
          <t>2026-07-01</t>
        </is>
      </c>
      <c r="E244" s="189" t="inlineStr">
        <is>
          <t>—</t>
        </is>
      </c>
      <c r="F244" s="189" t="inlineStr">
        <is>
          <t>Harish Bhat</t>
        </is>
      </c>
      <c r="G244" s="189" t="inlineStr">
        <is>
          <t>Online</t>
        </is>
      </c>
      <c r="H244" s="189" t="inlineStr">
        <is>
          <t>Tickets team P&amp;S review</t>
        </is>
      </c>
      <c r="I244" s="190" t="n">
        <v>3</v>
      </c>
    </row>
    <row r="245" ht="15.75" customHeight="1" s="156">
      <c r="A245" s="191" t="inlineStr">
        <is>
          <t>July 2026</t>
        </is>
      </c>
      <c r="B245" s="191" t="inlineStr">
        <is>
          <t>Other</t>
        </is>
      </c>
      <c r="C245" s="191" t="inlineStr">
        <is>
          <t>Discussion on refresher</t>
        </is>
      </c>
      <c r="D245" s="191" t="inlineStr">
        <is>
          <t>2026-07-06</t>
        </is>
      </c>
      <c r="E245" s="191" t="inlineStr">
        <is>
          <t>—</t>
        </is>
      </c>
      <c r="F245" s="191" t="inlineStr">
        <is>
          <t>Harish Bhat</t>
        </is>
      </c>
      <c r="G245" s="191" t="inlineStr">
        <is>
          <t>Offline</t>
        </is>
      </c>
      <c r="H245" s="191" t="inlineStr">
        <is>
          <t>Discussion on refresher</t>
        </is>
      </c>
      <c r="I245" s="192" t="n">
        <v>2.5</v>
      </c>
    </row>
    <row r="246" ht="15.75" customHeight="1" s="156">
      <c r="A246" s="191" t="inlineStr">
        <is>
          <t>July 2026</t>
        </is>
      </c>
      <c r="B246" s="191" t="inlineStr">
        <is>
          <t>Support Training</t>
        </is>
      </c>
      <c r="C246" s="191" t="inlineStr">
        <is>
          <t>Ticket's team Tickets team communicate 360 training (mock ticket)</t>
        </is>
      </c>
      <c r="D246" s="191" t="inlineStr">
        <is>
          <t>2026-07-02</t>
        </is>
      </c>
      <c r="E246" s="191" t="inlineStr">
        <is>
          <t>—</t>
        </is>
      </c>
      <c r="F246" s="191" t="inlineStr">
        <is>
          <t>Harish Bhat</t>
        </is>
      </c>
      <c r="G246" s="191" t="inlineStr">
        <is>
          <t>Offline</t>
        </is>
      </c>
      <c r="H246" s="191" t="inlineStr">
        <is>
          <t>Ticket's team Tickets team communicate 360 training (mock ticket)</t>
        </is>
      </c>
      <c r="I246" s="192" t="n">
        <v>2.5</v>
      </c>
    </row>
    <row r="247" ht="15.75" customHeight="1" s="156">
      <c r="A247" s="191" t="inlineStr">
        <is>
          <t>July 2026</t>
        </is>
      </c>
      <c r="B247" s="191" t="inlineStr">
        <is>
          <t>Support Training</t>
        </is>
      </c>
      <c r="C247" s="191" t="inlineStr">
        <is>
          <t>Ticket's team Tickets team communicate 360 training (mock ticket)</t>
        </is>
      </c>
      <c r="D247" s="191" t="inlineStr">
        <is>
          <t>2026-07-02</t>
        </is>
      </c>
      <c r="E247" s="191" t="inlineStr">
        <is>
          <t>—</t>
        </is>
      </c>
      <c r="F247" s="191" t="inlineStr">
        <is>
          <t>Harish Bhat</t>
        </is>
      </c>
      <c r="G247" s="191" t="inlineStr">
        <is>
          <t>Offline</t>
        </is>
      </c>
      <c r="H247" s="191" t="inlineStr">
        <is>
          <t>Ticket's team Tickets team communicate 360 training (mock ticket)</t>
        </is>
      </c>
      <c r="I247" s="192" t="n">
        <v>2.5</v>
      </c>
    </row>
    <row r="248" ht="15.75" customHeight="1" s="156">
      <c r="A248" s="189" t="inlineStr">
        <is>
          <t>July 2026</t>
        </is>
      </c>
      <c r="B248" s="189" t="inlineStr">
        <is>
          <t>Other</t>
        </is>
      </c>
      <c r="C248" s="189" t="inlineStr">
        <is>
          <t>varsity tickets</t>
        </is>
      </c>
      <c r="D248" s="189" t="inlineStr">
        <is>
          <t>2026-07-01</t>
        </is>
      </c>
      <c r="E248" s="189" t="inlineStr">
        <is>
          <t>—</t>
        </is>
      </c>
      <c r="F248" s="189" t="inlineStr">
        <is>
          <t>Harish Bhat</t>
        </is>
      </c>
      <c r="G248" s="189" t="inlineStr">
        <is>
          <t>Online</t>
        </is>
      </c>
      <c r="H248" s="189" t="inlineStr">
        <is>
          <t>varsity tickets</t>
        </is>
      </c>
      <c r="I248" s="190" t="n">
        <v>0.25</v>
      </c>
    </row>
    <row r="249" ht="15.75" customHeight="1" s="156">
      <c r="A249" s="189" t="inlineStr">
        <is>
          <t>July 2026</t>
        </is>
      </c>
      <c r="B249" s="189" t="inlineStr">
        <is>
          <t>Other</t>
        </is>
      </c>
      <c r="C249" s="189" t="inlineStr">
        <is>
          <t>varsity tickets</t>
        </is>
      </c>
      <c r="D249" s="189" t="inlineStr">
        <is>
          <t>2026-07-02</t>
        </is>
      </c>
      <c r="E249" s="189" t="inlineStr">
        <is>
          <t>—</t>
        </is>
      </c>
      <c r="F249" s="189" t="inlineStr">
        <is>
          <t>Harish Bhat</t>
        </is>
      </c>
      <c r="G249" s="189" t="inlineStr">
        <is>
          <t>Online</t>
        </is>
      </c>
      <c r="H249" s="189" t="inlineStr">
        <is>
          <t>varsity tickets</t>
        </is>
      </c>
      <c r="I249" s="190" t="n">
        <v>0.25</v>
      </c>
    </row>
    <row r="250" ht="15.75" customHeight="1" s="156">
      <c r="A250" s="189" t="inlineStr">
        <is>
          <t>July 2026</t>
        </is>
      </c>
      <c r="B250" s="189" t="inlineStr">
        <is>
          <t>Other</t>
        </is>
      </c>
      <c r="C250" s="189" t="inlineStr">
        <is>
          <t>varsity tickets</t>
        </is>
      </c>
      <c r="D250" s="189" t="inlineStr">
        <is>
          <t>2026-07-03</t>
        </is>
      </c>
      <c r="E250" s="189" t="inlineStr">
        <is>
          <t>—</t>
        </is>
      </c>
      <c r="F250" s="189" t="inlineStr">
        <is>
          <t>Harish Bhat</t>
        </is>
      </c>
      <c r="G250" s="189" t="inlineStr">
        <is>
          <t>Online</t>
        </is>
      </c>
      <c r="H250" s="189" t="inlineStr">
        <is>
          <t>varsity tickets</t>
        </is>
      </c>
      <c r="I250" s="190" t="n">
        <v>0.25</v>
      </c>
    </row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2025"),SUMPRODUCT((Data!$A$2:$A$200="December 2025")*ISNUMBER(SEARCH("Gaurav",Data!$F$2:$F$200))*Data!$I$2:$I$200),0)</f>
        <v/>
      </c>
      <c r="C2">
        <f>IF(OR(Dashboard!$D$6="All Months",Dashboard!$D$6="December 2025"),SUMPRODUCT((Data!$A$2:$A$200="December 2025")*ISNUMBER(SEARCH("Raju",Data!$F$2:$F$200))*Data!$I$2:$I$200),0)</f>
        <v/>
      </c>
      <c r="D2">
        <f>IF(OR(Dashboard!$D$6="All Months",Dashboard!$D$6="December 2025"),SUMPRODUCT((Data!$A$2:$A$200="December 2025")*ISNUMBER(SEARCH("Freeda",Data!$F$2:$F$200))*Data!$I$2:$I$200),0)</f>
        <v/>
      </c>
      <c r="E2">
        <f>IF(OR(Dashboard!$D$6="All Months",Dashboard!$D$6="December 2025"),SUMPRODUCT((Data!$A$2:$A$200="December 2025")*ISNUMBER(SEARCH("Harish",Data!$F$2:$F$200))*Data!$I$2:$I$200),0)</f>
        <v/>
      </c>
      <c r="F2">
        <f>IF(OR(Dashboard!$D$6="All Months",Dashboard!$D$6="December 2025"),SUMPRODUCT((Data!$A$2:$A$200="December 2025")*ISNUMBER(SEARCH("Girish",Data!$F$2:$F$200))*Data!$I$2:$I$200),0)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2026"),SUMPRODUCT((Data!$A$2:$A$200="January 2026")*ISNUMBER(SEARCH("Gaurav",Data!$F$2:$F$200))*Data!$I$2:$I$200),0)</f>
        <v/>
      </c>
      <c r="C3">
        <f>IF(OR(Dashboard!$D$6="All Months",Dashboard!$D$6="January 2026"),SUMPRODUCT((Data!$A$2:$A$200="January 2026")*ISNUMBER(SEARCH("Raju",Data!$F$2:$F$200))*Data!$I$2:$I$200),0)</f>
        <v/>
      </c>
      <c r="D3">
        <f>IF(OR(Dashboard!$D$6="All Months",Dashboard!$D$6="January 2026"),SUMPRODUCT((Data!$A$2:$A$200="January 2026")*ISNUMBER(SEARCH("Freeda",Data!$F$2:$F$200))*Data!$I$2:$I$200),0)</f>
        <v/>
      </c>
      <c r="E3">
        <f>IF(OR(Dashboard!$D$6="All Months",Dashboard!$D$6="January 2026"),SUMPRODUCT((Data!$A$2:$A$200="January 2026")*ISNUMBER(SEARCH("Harish",Data!$F$2:$F$200))*Data!$I$2:$I$200),0)</f>
        <v/>
      </c>
      <c r="F3">
        <f>IF(OR(Dashboard!$D$6="All Months",Dashboard!$D$6="January 2026"),SUMPRODUCT((Data!$A$2:$A$200="January 2026")*ISNUMBER(SEARCH("Girish",Data!$F$2:$F$200))*Data!$I$2:$I$200),0)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2026"),SUMPRODUCT((Data!$A$2:$A$200="February 2026")*ISNUMBER(SEARCH("Gaurav",Data!$F$2:$F$200))*Data!$I$2:$I$200),0)</f>
        <v/>
      </c>
      <c r="C4">
        <f>IF(OR(Dashboard!$D$6="All Months",Dashboard!$D$6="February 2026"),SUMPRODUCT((Data!$A$2:$A$200="February 2026")*ISNUMBER(SEARCH("Raju",Data!$F$2:$F$200))*Data!$I$2:$I$200),0)</f>
        <v/>
      </c>
      <c r="D4">
        <f>IF(OR(Dashboard!$D$6="All Months",Dashboard!$D$6="February 2026"),SUMPRODUCT((Data!$A$2:$A$200="February 2026")*ISNUMBER(SEARCH("Freeda",Data!$F$2:$F$200))*Data!$I$2:$I$200),0)</f>
        <v/>
      </c>
      <c r="E4">
        <f>IF(OR(Dashboard!$D$6="All Months",Dashboard!$D$6="February 2026"),SUMPRODUCT((Data!$A$2:$A$200="February 2026")*ISNUMBER(SEARCH("Harish",Data!$F$2:$F$200))*Data!$I$2:$I$200),0)</f>
        <v/>
      </c>
      <c r="F4">
        <f>IF(OR(Dashboard!$D$6="All Months",Dashboard!$D$6="February 2026"),SUMPRODUCT((Data!$A$2:$A$200="February 2026")*ISNUMBER(SEARCH("Girish",Data!$F$2:$F$200))*Data!$I$2:$I$200),0)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2026"),SUMPRODUCT((Data!$A$2:$A$200="March 2026")*ISNUMBER(SEARCH("Gaurav",Data!$F$2:$F$200))*Data!$I$2:$I$200),0)</f>
        <v/>
      </c>
      <c r="C5">
        <f>IF(OR(Dashboard!$D$6="All Months",Dashboard!$D$6="March 2026"),SUMPRODUCT((Data!$A$2:$A$200="March 2026")*ISNUMBER(SEARCH("Raju",Data!$F$2:$F$200))*Data!$I$2:$I$200),0)</f>
        <v/>
      </c>
      <c r="D5">
        <f>IF(OR(Dashboard!$D$6="All Months",Dashboard!$D$6="March 2026"),SUMPRODUCT((Data!$A$2:$A$200="March 2026")*ISNUMBER(SEARCH("Freeda",Data!$F$2:$F$200))*Data!$I$2:$I$200),0)</f>
        <v/>
      </c>
      <c r="E5">
        <f>IF(OR(Dashboard!$D$6="All Months",Dashboard!$D$6="March 2026"),SUMPRODUCT((Data!$A$2:$A$200="March 2026")*ISNUMBER(SEARCH("Harish",Data!$F$2:$F$200))*Data!$I$2:$I$200),0)</f>
        <v/>
      </c>
      <c r="F5">
        <f>IF(OR(Dashboard!$D$6="All Months",Dashboard!$D$6="March 2026"),SUMPRODUCT((Data!$A$2:$A$200="March 2026")*ISNUMBER(SEARCH("Girish",Data!$F$2:$F$200))*Data!$I$2:$I$200),0)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2026"),SUMPRODUCT((Data!$A$2:$A$200="April 2026")*ISNUMBER(SEARCH("Gaurav",Data!$F$2:$F$200))*Data!$I$2:$I$200),0)</f>
        <v/>
      </c>
      <c r="C6">
        <f>IF(OR(Dashboard!$D$6="All Months",Dashboard!$D$6="April 2026"),SUMPRODUCT((Data!$A$2:$A$200="April 2026")*ISNUMBER(SEARCH("Raju",Data!$F$2:$F$200))*Data!$I$2:$I$200),0)</f>
        <v/>
      </c>
      <c r="D6">
        <f>IF(OR(Dashboard!$D$6="All Months",Dashboard!$D$6="April 2026"),SUMPRODUCT((Data!$A$2:$A$200="April 2026")*ISNUMBER(SEARCH("Freeda",Data!$F$2:$F$200))*Data!$I$2:$I$200),0)</f>
        <v/>
      </c>
      <c r="E6">
        <f>IF(OR(Dashboard!$D$6="All Months",Dashboard!$D$6="April 2026"),SUMPRODUCT((Data!$A$2:$A$200="April 2026")*ISNUMBER(SEARCH("Harish",Data!$F$2:$F$200))*Data!$I$2:$I$200),0)</f>
        <v/>
      </c>
      <c r="F6">
        <f>IF(OR(Dashboard!$D$6="All Months",Dashboard!$D$6="April 2026"),SUMPRODUCT((Data!$A$2:$A$200="April 2026")*ISNUMBER(SEARCH("Girish",Data!$F$2:$F$200))*Data!$I$2:$I$200),0)</f>
        <v/>
      </c>
    </row>
    <row r="7">
      <c r="A7" t="inlineStr">
        <is>
          <t>May 2026</t>
        </is>
      </c>
      <c r="B7">
        <f>IF(OR(Dashboard!$D$6="All Months",Dashboard!$D$6="May 2026"),SUMPRODUCT((Data!$A$2:$A$200="May 2026")*ISNUMBER(SEARCH("Gaurav",Data!$F$2:$F$200))*Data!$I$2:$I$200),0)</f>
        <v/>
      </c>
      <c r="C7">
        <f>IF(OR(Dashboard!$D$6="All Months",Dashboard!$D$6="May 2026"),SUMPRODUCT((Data!$A$2:$A$200="May 2026")*ISNUMBER(SEARCH("Raju",Data!$F$2:$F$200))*Data!$I$2:$I$200),0)</f>
        <v/>
      </c>
      <c r="D7">
        <f>IF(OR(Dashboard!$D$6="All Months",Dashboard!$D$6="May 2026"),SUMPRODUCT((Data!$A$2:$A$200="May 2026")*ISNUMBER(SEARCH("Freeda",Data!$F$2:$F$200))*Data!$I$2:$I$200),0)</f>
        <v/>
      </c>
      <c r="E7">
        <f>IF(OR(Dashboard!$D$6="All Months",Dashboard!$D$6="May 2026"),SUMPRODUCT((Data!$A$2:$A$200="May 2026")*ISNUMBER(SEARCH("Harish",Data!$F$2:$F$200))*Data!$I$2:$I$200),0)</f>
        <v/>
      </c>
      <c r="F7">
        <f>IF(OR(Dashboard!$D$6="All Months",Dashboard!$D$6="May 2026"),SUMPRODUCT((Data!$A$2:$A$200="May 2026")*ISNUMBER(SEARCH("Girish",Data!$F$2:$F$200))*Data!$I$2:$I$200),0)</f>
        <v/>
      </c>
    </row>
    <row r="8">
      <c r="A8" t="inlineStr">
        <is>
          <t>June 2026</t>
        </is>
      </c>
      <c r="B8">
        <f>IF(OR(Dashboard!$D$6="All Months",Dashboard!$D$6="June 2026"),SUMPRODUCT((Data!$A$2:$A$200="June 2026")*ISNUMBER(SEARCH("Gaurav",Data!$F$2:$F$200))*Data!$I$2:$I$200),0)</f>
        <v/>
      </c>
      <c r="C8">
        <f>IF(OR(Dashboard!$D$6="All Months",Dashboard!$D$6="June 2026"),SUMPRODUCT((Data!$A$2:$A$200="June 2026")*ISNUMBER(SEARCH("Raju",Data!$F$2:$F$200))*Data!$I$2:$I$200),0)</f>
        <v/>
      </c>
      <c r="D8">
        <f>IF(OR(Dashboard!$D$6="All Months",Dashboard!$D$6="June 2026"),SUMPRODUCT((Data!$A$2:$A$200="June 2026")*ISNUMBER(SEARCH("Freeda",Data!$F$2:$F$200))*Data!$I$2:$I$200),0)</f>
        <v/>
      </c>
      <c r="E8">
        <f>IF(OR(Dashboard!$D$6="All Months",Dashboard!$D$6="June 2026"),SUMPRODUCT((Data!$A$2:$A$200="June 2026")*ISNUMBER(SEARCH("Harish",Data!$F$2:$F$200))*Data!$I$2:$I$200),0)</f>
        <v/>
      </c>
      <c r="F8">
        <f>IF(OR(Dashboard!$D$6="All Months",Dashboard!$D$6="June 2026"),SUMPRODUCT((Data!$A$2:$A$200="June 2026")*ISNUMBER(SEARCH("Girish",Data!$F$2:$F$200))*Data!$I$2:$I$200),0)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2026"),SUMPRODUCT((Data!$A$2:$A$200="July 2026")*ISNUMBER(SEARCH("Gaurav",Data!$F$2:$F$200))*Data!$I$2:$I$200),0)</f>
        <v/>
      </c>
      <c r="C9">
        <f>IF(OR(Dashboard!$D$6="All Months",Dashboard!$D$6="July 2026"),SUMPRODUCT((Data!$A$2:$A$200="July 2026")*ISNUMBER(SEARCH("Raju",Data!$F$2:$F$200))*Data!$I$2:$I$200),0)</f>
        <v/>
      </c>
      <c r="D9">
        <f>IF(OR(Dashboard!$D$6="All Months",Dashboard!$D$6="July 2026"),SUMPRODUCT((Data!$A$2:$A$200="July 2026")*ISNUMBER(SEARCH("Freeda",Data!$F$2:$F$200))*Data!$I$2:$I$200),0)</f>
        <v/>
      </c>
      <c r="E9">
        <f>IF(OR(Dashboard!$D$6="All Months",Dashboard!$D$6="July 2026"),SUMPRODUCT((Data!$A$2:$A$200="July 2026")*ISNUMBER(SEARCH("Harish",Data!$F$2:$F$200))*Data!$I$2:$I$200),0)</f>
        <v/>
      </c>
      <c r="F9">
        <f>IF(OR(Dashboard!$D$6="All Months",Dashboard!$D$6="July 2026"),SUMPRODUCT((Data!$A$2:$A$200="July 2026")*ISNUMBER(SEARCH("Girish",Data!$F$2:$F$200))*Data!$I$2:$I$200),0)</f>
        <v/>
      </c>
    </row>
    <row r="10" ht="15" customHeight="1" s="156"/>
    <row r="11" ht="15" customHeight="1" s="156">
      <c r="A11" t="inlineStr">
        <is>
          <t>Session Type</t>
        </is>
      </c>
      <c r="B11" t="inlineStr">
        <is>
          <t>Hours</t>
        </is>
      </c>
    </row>
    <row r="12">
      <c r="A12" t="inlineStr">
        <is>
          <t>Online</t>
        </is>
      </c>
      <c r="B12">
        <f>IF(Dashboard!$D$6="All Months",SUMIF(Data!$G$2:$G$200,"Online",Data!$I$2:$I$200),SUMPRODUCT((Data!$A$2:$A$200=Dashboard!$D$6)*(Data!$G$2:$G$200="Online")*Data!$I$2:$I$200))</f>
        <v/>
      </c>
    </row>
    <row r="13">
      <c r="A13" t="inlineStr">
        <is>
          <t>Offline</t>
        </is>
      </c>
      <c r="B13">
        <f>IF(Dashboard!$D$6="All Months",SUMIF(Data!$G$2:$G$200,"Offline",Data!$I$2:$I$200),SUMPRODUCT((Data!$A$2:$A$200=Dashboard!$D$6)*(Data!$G$2:$G$200="Offline")*Data!$I$2:$I$200))</f>
        <v/>
      </c>
    </row>
    <row r="14" ht="15" customHeight="1" s="156"/>
    <row r="15" ht="15" customHeight="1" s="156">
      <c r="A15" t="inlineStr">
        <is>
          <t>Activity</t>
        </is>
      </c>
      <c r="B15" t="inlineStr">
        <is>
          <t>Hours</t>
        </is>
      </c>
    </row>
    <row r="16" ht="15" customHeight="1" s="156">
      <c r="A16" t="inlineStr">
        <is>
          <t>Project Maven</t>
        </is>
      </c>
      <c r="B16">
        <f>IF(Dashboard!$D$6="All Months",SUMIF(Data!$B$2:$B$200,"Project Maven",Data!$I$2:$I$200),SUMPRODUCT((Data!$A$2:$A$200=Dashboard!$D$6)*(Data!$B$2:$B$200="Project Maven")*Data!$I$2:$I$200))</f>
        <v/>
      </c>
    </row>
    <row r="17" ht="15" customHeight="1" s="156">
      <c r="A17" t="inlineStr">
        <is>
          <t>Support Training</t>
        </is>
      </c>
      <c r="B17">
        <f>IF(Dashboard!$D$6="All Months",SUMIF(Data!$B$2:$B$200,"Support Training",Data!$I$2:$I$200),SUMPRODUCT((Data!$A$2:$A$200=Dashboard!$D$6)*(Data!$B$2:$B$200="Support Training")*Data!$I$2:$I$200))</f>
        <v/>
      </c>
    </row>
    <row r="18" ht="15" customHeight="1" s="156">
      <c r="A18" t="inlineStr">
        <is>
          <t>Assessment</t>
        </is>
      </c>
      <c r="B18">
        <f>IF(Dashboard!$D$6="All Months",SUMIF(Data!$B$2:$B$200,"Assessment",Data!$I$2:$I$200),SUMPRODUCT((Data!$A$2:$A$200=Dashboard!$D$6)*(Data!$B$2:$B$200="Assessment")*Data!$I$2:$I$200))</f>
        <v/>
      </c>
    </row>
    <row r="19" ht="15" customHeight="1" s="156">
      <c r="A19" t="inlineStr">
        <is>
          <t>Other</t>
        </is>
      </c>
      <c r="B19">
        <f>IF(Dashboard!$D$6="All Months",SUMIF(Data!$B$2:$B$200,"Other",Data!$I$2:$I$200),SUMPRODUCT((Data!$A$2:$A$200=Dashboard!$D$6)*(Data!$B$2:$B$200="Other")*Data!$I$2:$I$200))</f>
        <v/>
      </c>
    </row>
    <row r="20" ht="15" customHeight="1" s="156">
      <c r="A20" t="inlineStr">
        <is>
          <t>Refresher for Entire Support</t>
        </is>
      </c>
      <c r="B20">
        <f>IF(Dashboard!$D$6="All Months",SUMIF(Data!$B$2:$B$200,"Refresher for Entire Support",Data!$I$2:$I$200),SUMPRODUCT((Data!$A$2:$A$200=Dashboard!$D$6)*(Data!$B$2:$B$200="Refresher for Entire Support")*Data!$I$2:$I$200))</f>
        <v/>
      </c>
    </row>
    <row r="21" ht="15.75" customHeight="1" s="156">
      <c r="A21" t="inlineStr">
        <is>
          <t>Support Team OJT</t>
        </is>
      </c>
      <c r="B21">
        <f>IF(Dashboard!$D$6="All Months",SUMIF(Data!$B$2:$B$200,"Support Team OJT",Data!$I$2:$I$200),SUMPRODUCT((Data!$A$2:$A$200=Dashboard!$D$6)*(Data!$B$2:$B$200="Support Team OJT")*Data!$I$2:$I$200))</f>
        <v/>
      </c>
    </row>
    <row r="22" ht="15.75" customHeight="1" s="156">
      <c r="A22" t="inlineStr">
        <is>
          <t>Refresher</t>
        </is>
      </c>
      <c r="B22">
        <f>IF(Dashboard!$D$6="All Months",SUMIF(Data!$B$2:$B$200,"Refresher",Data!$I$2:$I$200),SUMPRODUCT((Data!$A$2:$A$200=Dashboard!$D$6)*(Data!$B$2:$B$200="Refresher")*Data!$I$2:$I$200))</f>
        <v/>
      </c>
    </row>
    <row r="23" ht="15.75" customHeight="1" s="156">
      <c r="A23" t="inlineStr">
        <is>
          <t>Team Refresher</t>
        </is>
      </c>
      <c r="B23">
        <f>IF(Dashboard!$D$6="All Months",SUMIF(Data!$B$2:$B$200,"Team Refresher",Data!$I$2:$I$200),SUMPRODUCT((Data!$A$2:$A$200=Dashboard!$D$6)*(Data!$B$2:$B$200="Team Refresher")*Data!$I$2:$I$200))</f>
        <v/>
      </c>
    </row>
    <row r="24" ht="15.75" customHeight="1" s="156">
      <c r="A24" t="inlineStr">
        <is>
          <t>ACOP Team Refresher</t>
        </is>
      </c>
      <c r="B24">
        <f>IF(Dashboard!$D$6="All Months",SUMIF(Data!$B$2:$B$200,"ACOP Team Refresher",Data!$I$2:$I$200),SUMPRODUCT((Data!$A$2:$A$200=Dashboard!$D$6)*(Data!$B$2:$B$200="ACOP Team Refresher")*Data!$I$2:$I$200))</f>
        <v/>
      </c>
    </row>
    <row r="25" ht="15.75" customHeight="1" s="156">
      <c r="A25" t="inlineStr">
        <is>
          <t>Varsity Backend Support</t>
        </is>
      </c>
      <c r="B25">
        <f>IF(Dashboard!$D$6="All Months",SUMIF(Data!$B$2:$B$200,"Varsity Backend Support",Data!$I$2:$I$200),SUMPRODUCT((Data!$A$2:$A$200=Dashboard!$D$6)*(Data!$B$2:$B$200="Varsity Backend Support")*Data!$I$2:$I$200))</f>
        <v/>
      </c>
    </row>
    <row r="26" ht="15.75" customHeight="1" s="156">
      <c r="A26" t="inlineStr">
        <is>
          <t>Refresher for Evening Support</t>
        </is>
      </c>
      <c r="B26">
        <f>IF(Dashboard!$D$6="All Months",SUMIF(Data!$B$2:$B$200,"Refresher for Evening Support",Data!$I$2:$I$200),SUMPRODUCT((Data!$A$2:$A$200=Dashboard!$D$6)*(Data!$B$2:$B$200="Refresher for Evening Support")*Data!$I$2:$I$200))</f>
        <v/>
      </c>
    </row>
    <row r="27" ht="15.75" customHeight="1" s="156">
      <c r="A27" t="inlineStr">
        <is>
          <t>Refresher for Support</t>
        </is>
      </c>
      <c r="B27">
        <f>IF(Dashboard!$D$6="All Months",SUMIF(Data!$B$2:$B$200,"Refresher for Support",Data!$I$2:$I$200),SUMPRODUCT((Data!$A$2:$A$200=Dashboard!$D$6)*(Data!$B$2:$B$200="Refresher for Support")*Data!$I$2:$I$200))</f>
        <v/>
      </c>
    </row>
    <row r="28" ht="15.75" customHeight="1" s="156">
      <c r="A28" t="inlineStr">
        <is>
          <t>Mock Calls</t>
        </is>
      </c>
      <c r="B28">
        <f>IF(Dashboard!$D$6="All Months",SUMIF(Data!$B$2:$B$200,"Mock Calls",Data!$I$2:$I$200),SUMPRODUCT((Data!$A$2:$A$200=Dashboard!$D$6)*(Data!$B$2:$B$200="Mock Calls")*Data!$I$2:$I$200))</f>
        <v/>
      </c>
    </row>
    <row r="29" ht="15.75" customHeight="1" s="156">
      <c r="A29" t="inlineStr">
        <is>
          <t>Webinar</t>
        </is>
      </c>
      <c r="B29">
        <f>IF(Dashboard!$D$6="All Months",SUMIF(Data!$B$2:$B$200,"Webinar",Data!$I$2:$I$200),SUMPRODUCT((Data!$A$2:$A$200=Dashboard!$D$6)*(Data!$B$2:$B$200="Webinar")*Data!$I$2:$I$200))</f>
        <v/>
      </c>
    </row>
    <row r="30" ht="15.75" customHeight="1" s="156">
      <c r="A30" t="inlineStr">
        <is>
          <t>Session</t>
        </is>
      </c>
      <c r="B30">
        <f>IF(Dashboard!$D$6="All Months",SUMIF(Data!$B$2:$B$200,"Session",Data!$I$2:$I$200),SUMPRODUCT((Data!$A$2:$A$200=Dashboard!$D$6)*(Data!$B$2:$B$200="Session")*Data!$I$2:$I$200))</f>
        <v/>
      </c>
    </row>
    <row r="31" ht="15.75" customHeight="1" s="156">
      <c r="A31" t="inlineStr">
        <is>
          <t>Ticket Tool Video</t>
        </is>
      </c>
      <c r="B31">
        <f>IF(Dashboard!$D$6="All Months",SUMIF(Data!$B$2:$B$200,"Ticket Tool Video",Data!$I$2:$I$200),SUMPRODUCT((Data!$A$2:$A$200=Dashboard!$D$6)*(Data!$B$2:$B$200="Ticket Tool Video")*Data!$I$2:$I$200))</f>
        <v/>
      </c>
    </row>
    <row r="32" ht="15.75" customHeight="1" s="156">
      <c r="A32" t="inlineStr">
        <is>
          <t>Varsity Scripts Writing</t>
        </is>
      </c>
      <c r="B32">
        <f>IF(Dashboard!$D$6="All Months",SUMIF(Data!$B$2:$B$200,"Varsity Scripts Writing",Data!$I$2:$I$200),SUMPRODUCT((Data!$A$2:$A$200=Dashboard!$D$6)*(Data!$B$2:$B$200="Varsity Scripts Writing")*Data!$I$2:$I$200))</f>
        <v/>
      </c>
    </row>
    <row r="33" ht="15.75" customHeight="1" s="156">
      <c r="A33" t="inlineStr">
        <is>
          <t>Varsity Video Shoot</t>
        </is>
      </c>
      <c r="B33">
        <f>IF(Dashboard!$D$6="All Months",SUMIF(Data!$B$2:$B$200,"Varsity Video Shoot",Data!$I$2:$I$200),SUMPRODUCT((Data!$A$2:$A$200=Dashboard!$D$6)*(Data!$B$2:$B$200="Varsity Video Shoot")*Data!$I$2:$I$200))</f>
        <v/>
      </c>
    </row>
    <row r="34" ht="15.75" customHeight="1" s="156">
      <c r="A34" t="inlineStr">
        <is>
          <t>Accop Training</t>
        </is>
      </c>
      <c r="B34">
        <f>IF(Dashboard!$D$6="All Months",SUMIF(Data!$B$2:$B$200,"Accop Training",Data!$I$2:$I$200),SUMPRODUCT((Data!$A$2:$A$200=Dashboard!$D$6)*(Data!$B$2:$B$200="Accop Training")*Data!$I$2:$I$200))</f>
        <v/>
      </c>
    </row>
    <row r="35" ht="15.75" customHeight="1" s="156">
      <c r="A35" t="inlineStr">
        <is>
          <t>NRI Team Training</t>
        </is>
      </c>
      <c r="B35">
        <f>IF(Dashboard!$D$6="All Months",SUMIF(Data!$B$2:$B$200,"NRI Team Training",Data!$I$2:$I$200),SUMPRODUCT((Data!$A$2:$A$200=Dashboard!$D$6)*(Data!$B$2:$B$200="NRI Team Training")*Data!$I$2:$I$200))</f>
        <v/>
      </c>
    </row>
    <row r="36" ht="15.75" customHeight="1" s="156">
      <c r="A36" t="inlineStr">
        <is>
          <t>Content Team Session</t>
        </is>
      </c>
      <c r="B36">
        <f>IF(Dashboard!$D$6="All Months",SUMIF(Data!$B$2:$B$200,"Content Team Session",Data!$I$2:$I$200),SUMPRODUCT((Data!$A$2:$A$200=Dashboard!$D$6)*(Data!$B$2:$B$200="Content Team Session")*Data!$I$2:$I$200))</f>
        <v/>
      </c>
    </row>
    <row r="37" ht="15.75" customHeight="1" s="156">
      <c r="A37" t="inlineStr">
        <is>
          <t>Varsity Team Session</t>
        </is>
      </c>
      <c r="B37">
        <f>IF(Dashboard!$D$6="All Months",SUMIF(Data!$B$2:$B$200,"Varsity Team Session",Data!$I$2:$I$200),SUMPRODUCT((Data!$A$2:$A$200=Dashboard!$D$6)*(Data!$B$2:$B$200="Varsity Team Session")*Data!$I$2:$I$200))</f>
        <v/>
      </c>
    </row>
    <row r="38" ht="15.75" customHeight="1" s="156">
      <c r="A38" t="inlineStr">
        <is>
          <t>Assessments</t>
        </is>
      </c>
      <c r="B38">
        <f>IF(Dashboard!$D$6="All Months",SUMIF(Data!$B$2:$B$200,"Assessments",Data!$I$2:$I$200),SUMPRODUCT((Data!$A$2:$A$200=Dashboard!$D$6)*(Data!$B$2:$B$200="Assessments")*Data!$I$2:$I$200))</f>
        <v/>
      </c>
    </row>
    <row r="39" ht="15.75" customHeight="1" s="156">
      <c r="A39" t="inlineStr">
        <is>
          <t>Training Need Analysis</t>
        </is>
      </c>
      <c r="B39">
        <f>IF(Dashboard!$D$6="All Months",SUMIF(Data!$B$2:$B$200,"Training Need Analysis",Data!$I$2:$I$200),SUMPRODUCT((Data!$A$2:$A$200=Dashboard!$D$6)*(Data!$B$2:$B$200="Training Need Analysis")*Data!$I$2:$I$200))</f>
        <v/>
      </c>
    </row>
    <row r="40" ht="15.75" customHeight="1" s="156">
      <c r="A40" t="inlineStr">
        <is>
          <t>Fresh Hires Training</t>
        </is>
      </c>
      <c r="B40">
        <f>IF(Dashboard!$D$6="All Months",SUMIF(Data!$B$2:$B$200,"Fresh Hires Training",Data!$I$2:$I$200),SUMPRODUCT((Data!$A$2:$A$200=Dashboard!$D$6)*(Data!$B$2:$B$200="Fresh Hires Training")*Data!$I$2:$I$200))</f>
        <v/>
      </c>
    </row>
    <row r="41" ht="15.75" customHeight="1" s="156">
      <c r="A41" t="inlineStr">
        <is>
          <t>Self Assessment Form</t>
        </is>
      </c>
      <c r="B41">
        <f>IF(Dashboard!$D$6="All Months",SUMIF(Data!$B$2:$B$200,"Self Assessment Form",Data!$I$2:$I$200),SUMPRODUCT((Data!$A$2:$A$200=Dashboard!$D$6)*(Data!$B$2:$B$200="Self Assessment Form")*Data!$I$2:$I$200))</f>
        <v/>
      </c>
    </row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3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19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6" t="n">
        <v>1</v>
      </c>
      <c r="B7" s="197" t="inlineStr">
        <is>
          <t>Team Refresher</t>
        </is>
      </c>
      <c r="C7" s="197" t="inlineStr">
        <is>
          <t>ACOP (Online Team)</t>
        </is>
      </c>
      <c r="D7" s="197" t="inlineStr">
        <is>
          <t>10-Dec</t>
        </is>
      </c>
      <c r="E7" s="197" t="inlineStr">
        <is>
          <t>23-Dec</t>
        </is>
      </c>
      <c r="F7" s="197" t="inlineStr">
        <is>
          <t>Raju Vernekar</t>
        </is>
      </c>
      <c r="G7" s="197" t="inlineStr">
        <is>
          <t>Online</t>
        </is>
      </c>
      <c r="H7" s="197" t="inlineStr">
        <is>
          <t>Kite mobile/web &amp; order types</t>
        </is>
      </c>
      <c r="I7" s="198" t="n">
        <v>16</v>
      </c>
    </row>
    <row r="8" ht="21.75" customHeight="1" s="156">
      <c r="A8" s="196" t="n">
        <v>2</v>
      </c>
      <c r="B8" s="197" t="inlineStr">
        <is>
          <t>ACOP Team Refresher</t>
        </is>
      </c>
      <c r="C8" s="197" t="inlineStr">
        <is>
          <t>ACOP (Online Team)</t>
        </is>
      </c>
      <c r="D8" s="197" t="inlineStr">
        <is>
          <t>10-Dec</t>
        </is>
      </c>
      <c r="E8" s="197" t="inlineStr">
        <is>
          <t>19-Dec</t>
        </is>
      </c>
      <c r="F8" s="197" t="inlineStr">
        <is>
          <t>Gaurav Kumar</t>
        </is>
      </c>
      <c r="G8" s="197" t="inlineStr">
        <is>
          <t>Online</t>
        </is>
      </c>
      <c r="H8" s="197" t="inlineStr">
        <is>
          <t>Kite mobile/web &amp; order types</t>
        </is>
      </c>
      <c r="I8" s="198" t="n">
        <v>16</v>
      </c>
    </row>
    <row r="9" ht="21.75" customHeight="1" s="156">
      <c r="A9" s="199" t="n">
        <v>3</v>
      </c>
      <c r="B9" s="200" t="inlineStr">
        <is>
          <t>Project Maven</t>
        </is>
      </c>
      <c r="C9" s="200" t="inlineStr">
        <is>
          <t>MCP (Project Maven)</t>
        </is>
      </c>
      <c r="D9" s="200" t="inlineStr">
        <is>
          <t>8-Dec</t>
        </is>
      </c>
      <c r="E9" s="200" t="inlineStr">
        <is>
          <t>On going</t>
        </is>
      </c>
      <c r="F9" s="200" t="inlineStr">
        <is>
          <t>Raju Vernekar</t>
        </is>
      </c>
      <c r="G9" s="200" t="inlineStr">
        <is>
          <t>Offline</t>
        </is>
      </c>
      <c r="H9" s="200" t="inlineStr">
        <is>
          <t>Project Maven for Support (MCP)</t>
        </is>
      </c>
      <c r="I9" s="201" t="n">
        <v>52</v>
      </c>
    </row>
    <row r="10" ht="21.75" customHeight="1" s="156">
      <c r="A10" s="199" t="n">
        <v>4</v>
      </c>
      <c r="B10" s="200" t="inlineStr">
        <is>
          <t>Project Maven</t>
        </is>
      </c>
      <c r="C10" s="200" t="inlineStr">
        <is>
          <t>MCP (Project Maven)</t>
        </is>
      </c>
      <c r="D10" s="200" t="inlineStr">
        <is>
          <t>8-Dec</t>
        </is>
      </c>
      <c r="E10" s="200" t="inlineStr">
        <is>
          <t>On going</t>
        </is>
      </c>
      <c r="F10" s="200" t="inlineStr">
        <is>
          <t>Gaurav Kumar</t>
        </is>
      </c>
      <c r="G10" s="200" t="inlineStr">
        <is>
          <t>Offline</t>
        </is>
      </c>
      <c r="H10" s="200" t="inlineStr">
        <is>
          <t>Project Maven for Support (MCP)</t>
        </is>
      </c>
      <c r="I10" s="201" t="n">
        <v>45</v>
      </c>
    </row>
    <row r="11" ht="21.75" customHeight="1" s="156">
      <c r="A11" s="196" t="n">
        <v>5</v>
      </c>
      <c r="B11" s="197" t="inlineStr">
        <is>
          <t>Webinar</t>
        </is>
      </c>
      <c r="C11" s="197" t="inlineStr">
        <is>
          <t>Support Team</t>
        </is>
      </c>
      <c r="D11" s="197" t="inlineStr">
        <is>
          <t>19-Dec</t>
        </is>
      </c>
      <c r="E11" s="197" t="inlineStr">
        <is>
          <t>19-Dec</t>
        </is>
      </c>
      <c r="F11" s="197" t="inlineStr">
        <is>
          <t>Gaurav Kumar / Raju Vernekar</t>
        </is>
      </c>
      <c r="G11" s="197" t="inlineStr">
        <is>
          <t>Online</t>
        </is>
      </c>
      <c r="H11" s="197" t="inlineStr">
        <is>
          <t>Delta Violation</t>
        </is>
      </c>
      <c r="I11" s="198" t="n">
        <v>3</v>
      </c>
    </row>
    <row r="12" ht="21.75" customHeight="1" s="156">
      <c r="A12" s="196" t="n">
        <v>6</v>
      </c>
      <c r="B12" s="197" t="inlineStr">
        <is>
          <t>Session</t>
        </is>
      </c>
      <c r="C12" s="197" t="inlineStr">
        <is>
          <t>Support Manager &amp; AVPs</t>
        </is>
      </c>
      <c r="D12" s="197" t="inlineStr">
        <is>
          <t>11-Dec</t>
        </is>
      </c>
      <c r="E12" s="197" t="inlineStr">
        <is>
          <t>11-Dec</t>
        </is>
      </c>
      <c r="F12" s="197" t="inlineStr">
        <is>
          <t>Gaurav Kumar</t>
        </is>
      </c>
      <c r="G12" s="197" t="inlineStr">
        <is>
          <t>Online</t>
        </is>
      </c>
      <c r="H12" s="197" t="inlineStr">
        <is>
          <t>Delta Violation</t>
        </is>
      </c>
      <c r="I12" s="198" t="n">
        <v>3</v>
      </c>
    </row>
    <row r="13" ht="27.75" customHeight="1" s="156">
      <c r="A13" s="202" t="inlineStr">
        <is>
          <t>TOTAL MAN HOURS THIS MONTH</t>
        </is>
      </c>
      <c r="B13" s="202" t="n"/>
      <c r="C13" s="202" t="n"/>
      <c r="D13" s="202" t="n"/>
      <c r="E13" s="202" t="n"/>
      <c r="F13" s="202" t="n"/>
      <c r="G13" s="202" t="n"/>
      <c r="H13" s="202" t="n"/>
      <c r="I13" s="203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4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6" t="n">
        <v>1</v>
      </c>
      <c r="B7" s="197" t="inlineStr">
        <is>
          <t>Refresher</t>
        </is>
      </c>
      <c r="C7" s="197" t="inlineStr">
        <is>
          <t>Sherin's Team</t>
        </is>
      </c>
      <c r="D7" s="197" t="inlineStr">
        <is>
          <t>13-Jan</t>
        </is>
      </c>
      <c r="E7" s="197" t="inlineStr">
        <is>
          <t>13-Jan</t>
        </is>
      </c>
      <c r="F7" s="197" t="inlineStr">
        <is>
          <t>Raju Vernekar</t>
        </is>
      </c>
      <c r="G7" s="197" t="inlineStr">
        <is>
          <t>Online</t>
        </is>
      </c>
      <c r="H7" s="197" t="inlineStr">
        <is>
          <t>Basics of support</t>
        </is>
      </c>
      <c r="I7" s="198" t="n">
        <v>4</v>
      </c>
    </row>
    <row r="8" ht="21.75" customHeight="1" s="156">
      <c r="A8" s="199" t="n">
        <v>2</v>
      </c>
      <c r="B8" s="200" t="inlineStr">
        <is>
          <t>Project Maven</t>
        </is>
      </c>
      <c r="C8" s="200" t="inlineStr">
        <is>
          <t>MCP (Project Maven)</t>
        </is>
      </c>
      <c r="D8" s="200" t="inlineStr">
        <is>
          <t>1-Jan</t>
        </is>
      </c>
      <c r="E8" s="200" t="inlineStr">
        <is>
          <t>On going</t>
        </is>
      </c>
      <c r="F8" s="200" t="inlineStr">
        <is>
          <t>Raju Vernekar</t>
        </is>
      </c>
      <c r="G8" s="200" t="inlineStr">
        <is>
          <t>Offline</t>
        </is>
      </c>
      <c r="H8" s="200" t="inlineStr">
        <is>
          <t>Project Maven</t>
        </is>
      </c>
      <c r="I8" s="201" t="n">
        <v>156</v>
      </c>
    </row>
    <row r="9" ht="21.75" customHeight="1" s="156">
      <c r="A9" s="196" t="n">
        <v>3</v>
      </c>
      <c r="B9" s="197" t="inlineStr">
        <is>
          <t>Assessments</t>
        </is>
      </c>
      <c r="C9" s="197" t="inlineStr">
        <is>
          <t>Communication Assessment Tool</t>
        </is>
      </c>
      <c r="D9" s="197" t="inlineStr">
        <is>
          <t>22-Jan</t>
        </is>
      </c>
      <c r="E9" s="197" t="inlineStr">
        <is>
          <t>22-Jan</t>
        </is>
      </c>
      <c r="F9" s="197" t="inlineStr">
        <is>
          <t>Raju Vernekar</t>
        </is>
      </c>
      <c r="G9" s="197" t="inlineStr">
        <is>
          <t>Online</t>
        </is>
      </c>
      <c r="H9" s="197" t="inlineStr">
        <is>
          <t>Communication Assessment</t>
        </is>
      </c>
      <c r="I9" s="198" t="n">
        <v>1</v>
      </c>
    </row>
    <row r="10" ht="21.75" customHeight="1" s="156">
      <c r="A10" s="196" t="n">
        <v>4</v>
      </c>
      <c r="B10" s="197" t="inlineStr">
        <is>
          <t>Refresher</t>
        </is>
      </c>
      <c r="C10" s="197" t="inlineStr">
        <is>
          <t>Sherin's Team</t>
        </is>
      </c>
      <c r="D10" s="197" t="inlineStr">
        <is>
          <t>12-Jan</t>
        </is>
      </c>
      <c r="E10" s="197" t="inlineStr">
        <is>
          <t>20-Jan</t>
        </is>
      </c>
      <c r="F10" s="197" t="inlineStr">
        <is>
          <t>Gaurav Kumar</t>
        </is>
      </c>
      <c r="G10" s="197" t="inlineStr">
        <is>
          <t>Online</t>
        </is>
      </c>
      <c r="H10" s="197" t="inlineStr">
        <is>
          <t>MTF, Hedge, Basket, Corp actions, MF</t>
        </is>
      </c>
      <c r="I10" s="198" t="n">
        <v>15</v>
      </c>
    </row>
    <row r="11" ht="21.75" customHeight="1" s="156">
      <c r="A11" s="199" t="n">
        <v>5</v>
      </c>
      <c r="B11" s="200" t="inlineStr">
        <is>
          <t>Project Maven</t>
        </is>
      </c>
      <c r="C11" s="200" t="inlineStr">
        <is>
          <t>MCP (Project Maven)</t>
        </is>
      </c>
      <c r="D11" s="200" t="inlineStr">
        <is>
          <t>1-Jan</t>
        </is>
      </c>
      <c r="E11" s="200" t="inlineStr">
        <is>
          <t>On going</t>
        </is>
      </c>
      <c r="F11" s="200" t="inlineStr">
        <is>
          <t>Gaurav Kumar</t>
        </is>
      </c>
      <c r="G11" s="200" t="inlineStr">
        <is>
          <t>Offline</t>
        </is>
      </c>
      <c r="H11" s="200" t="inlineStr">
        <is>
          <t>Project Maven</t>
        </is>
      </c>
      <c r="I11" s="201" t="n">
        <v>140</v>
      </c>
    </row>
    <row r="12" ht="21.75" customHeight="1" s="156">
      <c r="A12" s="196" t="n">
        <v>6</v>
      </c>
      <c r="B12" s="197" t="inlineStr">
        <is>
          <t>Refresher for Entire Support</t>
        </is>
      </c>
      <c r="C12" s="197" t="inlineStr">
        <is>
          <t>Support Team</t>
        </is>
      </c>
      <c r="D12" s="197" t="inlineStr">
        <is>
          <t>28-Jan</t>
        </is>
      </c>
      <c r="E12" s="197" t="inlineStr">
        <is>
          <t>On going</t>
        </is>
      </c>
      <c r="F12" s="197" t="inlineStr">
        <is>
          <t>Gaurav Kumar</t>
        </is>
      </c>
      <c r="G12" s="197" t="inlineStr">
        <is>
          <t>Online</t>
        </is>
      </c>
      <c r="H12" s="197" t="inlineStr">
        <is>
          <t>Tijori Integration with Kite &amp; Console</t>
        </is>
      </c>
      <c r="I12" s="198" t="n">
        <v>65</v>
      </c>
    </row>
    <row r="13" ht="21.75" customHeight="1" s="156">
      <c r="A13" s="196" t="n">
        <v>7</v>
      </c>
      <c r="B13" s="197" t="inlineStr">
        <is>
          <t>Refresher for Evening Support</t>
        </is>
      </c>
      <c r="C13" s="197" t="inlineStr">
        <is>
          <t>MCX Team</t>
        </is>
      </c>
      <c r="D13" s="197" t="inlineStr">
        <is>
          <t>29-Jan</t>
        </is>
      </c>
      <c r="E13" s="197" t="inlineStr">
        <is>
          <t>On going</t>
        </is>
      </c>
      <c r="F13" s="197" t="inlineStr">
        <is>
          <t>Gaurav Kumar</t>
        </is>
      </c>
      <c r="G13" s="197" t="inlineStr">
        <is>
          <t>Online</t>
        </is>
      </c>
      <c r="H13" s="197" t="inlineStr">
        <is>
          <t>Tijori and MCX Devolvement</t>
        </is>
      </c>
      <c r="I13" s="198" t="n">
        <v>11</v>
      </c>
    </row>
    <row r="14" ht="21.75" customHeight="1" s="156">
      <c r="A14" s="196" t="n">
        <v>8</v>
      </c>
      <c r="B14" s="197" t="inlineStr">
        <is>
          <t>Content Team Session</t>
        </is>
      </c>
      <c r="C14" s="197" t="inlineStr">
        <is>
          <t>Stock tips</t>
        </is>
      </c>
      <c r="D14" s="197" t="inlineStr">
        <is>
          <t>28-Jan</t>
        </is>
      </c>
      <c r="E14" s="197" t="inlineStr">
        <is>
          <t>28-Jan</t>
        </is>
      </c>
      <c r="F14" s="197" t="inlineStr">
        <is>
          <t>Gaurav Kumar</t>
        </is>
      </c>
      <c r="G14" s="197" t="inlineStr">
        <is>
          <t>Online</t>
        </is>
      </c>
      <c r="H14" s="197" t="inlineStr">
        <is>
          <t>Session for Stock tips</t>
        </is>
      </c>
      <c r="I14" s="198" t="n">
        <v>1.5</v>
      </c>
    </row>
    <row r="15" ht="21.75" customHeight="1" s="156">
      <c r="A15" s="196" t="n">
        <v>9</v>
      </c>
      <c r="B15" s="197" t="inlineStr">
        <is>
          <t>Support Team OJT</t>
        </is>
      </c>
      <c r="C15" s="197" t="inlineStr">
        <is>
          <t>OJT for SM (Support)</t>
        </is>
      </c>
      <c r="D15" s="197" t="inlineStr">
        <is>
          <t>27-Dec</t>
        </is>
      </c>
      <c r="E15" s="197" t="inlineStr">
        <is>
          <t>31-Jan</t>
        </is>
      </c>
      <c r="F15" s="197" t="inlineStr">
        <is>
          <t>Gaurav Kumar / Raju Vernekar</t>
        </is>
      </c>
      <c r="G15" s="197" t="inlineStr">
        <is>
          <t>Online</t>
        </is>
      </c>
      <c r="H15" s="197" t="inlineStr">
        <is>
          <t>Support On Job Training</t>
        </is>
      </c>
      <c r="I15" s="198" t="n">
        <v>50</v>
      </c>
    </row>
    <row r="16" ht="21.75" customHeight="1" s="156">
      <c r="A16" s="196" t="n">
        <v>10</v>
      </c>
      <c r="B16" s="197" t="inlineStr">
        <is>
          <t>Assessment</t>
        </is>
      </c>
      <c r="C16" s="197" t="inlineStr">
        <is>
          <t>Sherin's Team</t>
        </is>
      </c>
      <c r="D16" s="197" t="inlineStr">
        <is>
          <t>23-Jan</t>
        </is>
      </c>
      <c r="E16" s="197" t="inlineStr">
        <is>
          <t>23-Jan</t>
        </is>
      </c>
      <c r="F16" s="197" t="inlineStr">
        <is>
          <t>Gaurav Kumar</t>
        </is>
      </c>
      <c r="G16" s="197" t="inlineStr">
        <is>
          <t>Online</t>
        </is>
      </c>
      <c r="H16" s="197" t="inlineStr">
        <is>
          <t>MTF, Hedge, Basket, Corp actions, MF</t>
        </is>
      </c>
      <c r="I16" s="198" t="n">
        <v>1.5</v>
      </c>
    </row>
    <row r="17" ht="27.75" customHeight="1" s="156">
      <c r="A17" s="202" t="inlineStr">
        <is>
          <t>TOTAL MAN HOURS THIS MONTH</t>
        </is>
      </c>
      <c r="B17" s="202" t="n"/>
      <c r="C17" s="202" t="n"/>
      <c r="D17" s="202" t="n"/>
      <c r="E17" s="202" t="n"/>
      <c r="F17" s="202" t="n"/>
      <c r="G17" s="202" t="n"/>
      <c r="H17" s="202" t="n"/>
      <c r="I17" s="203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4:I4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7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9" t="n">
        <v>1</v>
      </c>
      <c r="B7" s="200" t="inlineStr">
        <is>
          <t>Project Maven</t>
        </is>
      </c>
      <c r="C7" s="200" t="inlineStr">
        <is>
          <t>Project Maven</t>
        </is>
      </c>
      <c r="D7" s="200" t="inlineStr">
        <is>
          <t>1-Feb</t>
        </is>
      </c>
      <c r="E7" s="200" t="inlineStr">
        <is>
          <t>On going</t>
        </is>
      </c>
      <c r="F7" s="200" t="inlineStr">
        <is>
          <t>Raju Vernekar</t>
        </is>
      </c>
      <c r="G7" s="200" t="inlineStr">
        <is>
          <t>Offline</t>
        </is>
      </c>
      <c r="H7" s="200" t="inlineStr">
        <is>
          <t>Project Maven</t>
        </is>
      </c>
      <c r="I7" s="201" t="n">
        <v>104</v>
      </c>
    </row>
    <row r="8" ht="21.75" customHeight="1" s="156">
      <c r="A8" s="199" t="n">
        <v>2</v>
      </c>
      <c r="B8" s="200" t="inlineStr">
        <is>
          <t>Project Maven</t>
        </is>
      </c>
      <c r="C8" s="200" t="inlineStr">
        <is>
          <t>Project Maven</t>
        </is>
      </c>
      <c r="D8" s="200" t="inlineStr">
        <is>
          <t>1-Feb</t>
        </is>
      </c>
      <c r="E8" s="200" t="inlineStr">
        <is>
          <t>On going</t>
        </is>
      </c>
      <c r="F8" s="200" t="inlineStr">
        <is>
          <t>Gaurav Kumar</t>
        </is>
      </c>
      <c r="G8" s="200" t="inlineStr">
        <is>
          <t>Offline</t>
        </is>
      </c>
      <c r="H8" s="200" t="inlineStr">
        <is>
          <t>Project Maven</t>
        </is>
      </c>
      <c r="I8" s="201" t="n">
        <v>102</v>
      </c>
    </row>
    <row r="9" ht="21.75" customHeight="1" s="156">
      <c r="A9" s="196" t="n">
        <v>3</v>
      </c>
      <c r="B9" s="197" t="inlineStr">
        <is>
          <t>Refresher for Entire Support</t>
        </is>
      </c>
      <c r="C9" s="197" t="inlineStr">
        <is>
          <t>Customer Support</t>
        </is>
      </c>
      <c r="D9" s="197" t="inlineStr">
        <is>
          <t>27-Jan</t>
        </is>
      </c>
      <c r="E9" s="197" t="inlineStr">
        <is>
          <t>On going</t>
        </is>
      </c>
      <c r="F9" s="197" t="inlineStr">
        <is>
          <t>Gaurav Kumar</t>
        </is>
      </c>
      <c r="G9" s="197" t="inlineStr">
        <is>
          <t>Online</t>
        </is>
      </c>
      <c r="H9" s="197" t="inlineStr">
        <is>
          <t>Tijori, MCX Devolvement, SLB</t>
        </is>
      </c>
      <c r="I9" s="198" t="n">
        <v>36</v>
      </c>
    </row>
    <row r="10" ht="21.75" customHeight="1" s="156">
      <c r="A10" s="196" t="n">
        <v>4</v>
      </c>
      <c r="B10" s="197" t="inlineStr">
        <is>
          <t>Refresher for Support</t>
        </is>
      </c>
      <c r="C10" s="197" t="inlineStr">
        <is>
          <t>Customer Support</t>
        </is>
      </c>
      <c r="D10" s="197" t="inlineStr">
        <is>
          <t>11-Feb</t>
        </is>
      </c>
      <c r="E10" s="197" t="inlineStr">
        <is>
          <t>Completed</t>
        </is>
      </c>
      <c r="F10" s="197" t="inlineStr">
        <is>
          <t>Raju Vernekar</t>
        </is>
      </c>
      <c r="G10" s="197" t="inlineStr">
        <is>
          <t>Online</t>
        </is>
      </c>
      <c r="H10" s="197" t="inlineStr">
        <is>
          <t>MCX Devolvement</t>
        </is>
      </c>
      <c r="I10" s="198" t="n">
        <v>8</v>
      </c>
    </row>
    <row r="11" ht="27.75" customHeight="1" s="156">
      <c r="A11" s="202" t="inlineStr">
        <is>
          <t>TOTAL MAN HOURS THIS MONTH</t>
        </is>
      </c>
      <c r="B11" s="202" t="n"/>
      <c r="C11" s="202" t="n"/>
      <c r="D11" s="202" t="n"/>
      <c r="E11" s="202" t="n"/>
      <c r="F11" s="202" t="n"/>
      <c r="G11" s="202" t="n"/>
      <c r="H11" s="202" t="n"/>
      <c r="I11" s="203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1:H11"/>
    <mergeCell ref="A3:I3"/>
    <mergeCell ref="A4:I4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0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9" t="n">
        <v>1</v>
      </c>
      <c r="B7" s="200" t="inlineStr">
        <is>
          <t>Assessment</t>
        </is>
      </c>
      <c r="C7" s="200" t="inlineStr">
        <is>
          <t>Assessment - Communicate 360</t>
        </is>
      </c>
      <c r="D7" s="200" t="inlineStr">
        <is>
          <t>1-Mar</t>
        </is>
      </c>
      <c r="E7" s="200" t="inlineStr">
        <is>
          <t>On going</t>
        </is>
      </c>
      <c r="F7" s="200" t="inlineStr">
        <is>
          <t>Freeda Reshma Dsouza</t>
        </is>
      </c>
      <c r="G7" s="200" t="inlineStr">
        <is>
          <t>Offline</t>
        </is>
      </c>
      <c r="H7" s="200" t="inlineStr">
        <is>
          <t>Assessment - Communicate 360</t>
        </is>
      </c>
      <c r="I7" s="201" t="n">
        <v>6</v>
      </c>
    </row>
    <row r="8" ht="21.75" customHeight="1" s="156">
      <c r="A8" s="199" t="n">
        <v>2</v>
      </c>
      <c r="B8" s="200" t="inlineStr">
        <is>
          <t>Assessment</t>
        </is>
      </c>
      <c r="C8" s="200" t="inlineStr">
        <is>
          <t>Assessment tool - LMS</t>
        </is>
      </c>
      <c r="D8" s="200" t="inlineStr">
        <is>
          <t>1-Mar</t>
        </is>
      </c>
      <c r="E8" s="200" t="inlineStr">
        <is>
          <t>12-Mar</t>
        </is>
      </c>
      <c r="F8" s="200" t="inlineStr">
        <is>
          <t>Raju Vernekar / Girish A / Harish Bhat</t>
        </is>
      </c>
      <c r="G8" s="200" t="inlineStr">
        <is>
          <t>Offline</t>
        </is>
      </c>
      <c r="H8" s="200" t="inlineStr">
        <is>
          <t>Assessment tool - LMS</t>
        </is>
      </c>
      <c r="I8" s="201" t="n">
        <v>2</v>
      </c>
    </row>
    <row r="9" ht="21.75" customHeight="1" s="156">
      <c r="A9" s="199" t="n">
        <v>3</v>
      </c>
      <c r="B9" s="200" t="inlineStr">
        <is>
          <t>Support Training</t>
        </is>
      </c>
      <c r="C9" s="200" t="inlineStr">
        <is>
          <t>Tool building - C360</t>
        </is>
      </c>
      <c r="D9" s="200" t="inlineStr">
        <is>
          <t>12-Mar</t>
        </is>
      </c>
      <c r="E9" s="200" t="inlineStr">
        <is>
          <t>12-Mar</t>
        </is>
      </c>
      <c r="F9" s="200" t="inlineStr">
        <is>
          <t>Raju Vernekar / Girish A / Harish Bhat</t>
        </is>
      </c>
      <c r="G9" s="200" t="inlineStr">
        <is>
          <t>Offline</t>
        </is>
      </c>
      <c r="H9" s="200" t="inlineStr">
        <is>
          <t>Tool building - C360</t>
        </is>
      </c>
      <c r="I9" s="201" t="n">
        <v>5</v>
      </c>
    </row>
    <row r="10" ht="21.75" customHeight="1" s="156">
      <c r="A10" s="199" t="n">
        <v>4</v>
      </c>
      <c r="B10" s="200" t="inlineStr">
        <is>
          <t>Support Training</t>
        </is>
      </c>
      <c r="C10" s="200" t="inlineStr">
        <is>
          <t>Batch 1 - C360 Training</t>
        </is>
      </c>
      <c r="D10" s="200" t="inlineStr">
        <is>
          <t>12-Mar</t>
        </is>
      </c>
      <c r="E10" s="200" t="inlineStr">
        <is>
          <t>On going</t>
        </is>
      </c>
      <c r="F10" s="200" t="inlineStr">
        <is>
          <t>Freeda Reshma Dsouza</t>
        </is>
      </c>
      <c r="G10" s="200" t="inlineStr">
        <is>
          <t>Offline</t>
        </is>
      </c>
      <c r="H10" s="200" t="inlineStr">
        <is>
          <t>Batch 1 - C360 Training</t>
        </is>
      </c>
      <c r="I10" s="201" t="n">
        <v>8</v>
      </c>
    </row>
    <row r="11" ht="21.75" customHeight="1" s="156">
      <c r="A11" s="199" t="n">
        <v>5</v>
      </c>
      <c r="B11" s="200" t="inlineStr">
        <is>
          <t>Assessment</t>
        </is>
      </c>
      <c r="C11" s="200" t="inlineStr">
        <is>
          <t>Correction of Assessment - C360</t>
        </is>
      </c>
      <c r="D11" s="200" t="inlineStr">
        <is>
          <t>12-Mar</t>
        </is>
      </c>
      <c r="E11" s="200" t="inlineStr">
        <is>
          <t>On going</t>
        </is>
      </c>
      <c r="F11" s="200" t="inlineStr">
        <is>
          <t>Freeda Reshma Dsouza</t>
        </is>
      </c>
      <c r="G11" s="200" t="inlineStr">
        <is>
          <t>Offline</t>
        </is>
      </c>
      <c r="H11" s="200" t="inlineStr">
        <is>
          <t>Correction of Assessment - C360</t>
        </is>
      </c>
      <c r="I11" s="201" t="n">
        <v>5</v>
      </c>
    </row>
    <row r="12" ht="21.75" customHeight="1" s="156">
      <c r="A12" s="199" t="n">
        <v>6</v>
      </c>
      <c r="B12" s="200" t="inlineStr">
        <is>
          <t>Support Training</t>
        </is>
      </c>
      <c r="C12" s="200" t="inlineStr">
        <is>
          <t>Report Generation - C360</t>
        </is>
      </c>
      <c r="D12" s="200" t="inlineStr">
        <is>
          <t>12-Mar</t>
        </is>
      </c>
      <c r="E12" s="200" t="inlineStr">
        <is>
          <t>12-Mar</t>
        </is>
      </c>
      <c r="F12" s="200" t="inlineStr">
        <is>
          <t>Raju Vernekar / Girish A / Harish Bhat</t>
        </is>
      </c>
      <c r="G12" s="200" t="inlineStr">
        <is>
          <t>Offline</t>
        </is>
      </c>
      <c r="H12" s="200" t="inlineStr">
        <is>
          <t>Report Generation - C360</t>
        </is>
      </c>
      <c r="I12" s="201" t="n">
        <v>10</v>
      </c>
    </row>
    <row r="13" ht="21.75" customHeight="1" s="156">
      <c r="A13" s="199" t="n">
        <v>7</v>
      </c>
      <c r="B13" s="200" t="inlineStr">
        <is>
          <t>Project Maven</t>
        </is>
      </c>
      <c r="C13" s="200" t="inlineStr">
        <is>
          <t>Project Maven</t>
        </is>
      </c>
      <c r="D13" s="200" t="inlineStr">
        <is>
          <t>1-Mar</t>
        </is>
      </c>
      <c r="E13" s="200" t="inlineStr">
        <is>
          <t>On going</t>
        </is>
      </c>
      <c r="F13" s="200" t="inlineStr">
        <is>
          <t>Raju Vernekar</t>
        </is>
      </c>
      <c r="G13" s="200" t="inlineStr">
        <is>
          <t>Offline</t>
        </is>
      </c>
      <c r="H13" s="200" t="inlineStr">
        <is>
          <t>Project Maven</t>
        </is>
      </c>
      <c r="I13" s="201" t="n">
        <v>104</v>
      </c>
    </row>
    <row r="14" ht="21.75" customHeight="1" s="156">
      <c r="A14" s="199" t="n">
        <v>8</v>
      </c>
      <c r="B14" s="200" t="inlineStr">
        <is>
          <t>Project Maven</t>
        </is>
      </c>
      <c r="C14" s="200" t="inlineStr">
        <is>
          <t>Project Maven</t>
        </is>
      </c>
      <c r="D14" s="200" t="inlineStr">
        <is>
          <t>1-Mar</t>
        </is>
      </c>
      <c r="E14" s="200" t="inlineStr">
        <is>
          <t>On going</t>
        </is>
      </c>
      <c r="F14" s="200" t="inlineStr">
        <is>
          <t>Gaurav Kumar</t>
        </is>
      </c>
      <c r="G14" s="200" t="inlineStr">
        <is>
          <t>Offline</t>
        </is>
      </c>
      <c r="H14" s="200" t="inlineStr">
        <is>
          <t>Project Maven</t>
        </is>
      </c>
      <c r="I14" s="201" t="n">
        <v>102</v>
      </c>
    </row>
    <row r="15" ht="21.75" customHeight="1" s="156">
      <c r="A15" s="196" t="n">
        <v>9</v>
      </c>
      <c r="B15" s="197" t="inlineStr">
        <is>
          <t>Varsity Team Session</t>
        </is>
      </c>
      <c r="C15" s="197" t="inlineStr">
        <is>
          <t>Stock tips</t>
        </is>
      </c>
      <c r="D15" s="197" t="inlineStr">
        <is>
          <t>27-Mar</t>
        </is>
      </c>
      <c r="E15" s="197" t="inlineStr">
        <is>
          <t>27-Mar</t>
        </is>
      </c>
      <c r="F15" s="197" t="inlineStr">
        <is>
          <t>Gaurav Kumar</t>
        </is>
      </c>
      <c r="G15" s="197" t="inlineStr">
        <is>
          <t>Online</t>
        </is>
      </c>
      <c r="H15" s="197" t="inlineStr">
        <is>
          <t>New hire training</t>
        </is>
      </c>
      <c r="I15" s="198" t="n">
        <v>1.5</v>
      </c>
    </row>
    <row r="16" ht="27.75" customHeight="1" s="156">
      <c r="A16" s="202" t="inlineStr">
        <is>
          <t>TOTAL MAN HOURS THIS MONTH</t>
        </is>
      </c>
      <c r="B16" s="202" t="n"/>
      <c r="C16" s="202" t="n"/>
      <c r="D16" s="202" t="n"/>
      <c r="E16" s="202" t="n"/>
      <c r="F16" s="202" t="n"/>
      <c r="G16" s="202" t="n"/>
      <c r="H16" s="202" t="n"/>
      <c r="I16" s="203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6:H16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3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5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9" t="n">
        <v>1</v>
      </c>
      <c r="B7" s="200" t="inlineStr">
        <is>
          <t>Support Training</t>
        </is>
      </c>
      <c r="C7" s="200" t="inlineStr">
        <is>
          <t>Batch 2 - C360 Training</t>
        </is>
      </c>
      <c r="D7" s="200" t="inlineStr">
        <is>
          <t>7-Apr</t>
        </is>
      </c>
      <c r="E7" s="200" t="inlineStr">
        <is>
          <t>10-Apr</t>
        </is>
      </c>
      <c r="F7" s="200" t="inlineStr">
        <is>
          <t>Freeda Reshma Dsouza</t>
        </is>
      </c>
      <c r="G7" s="200" t="inlineStr">
        <is>
          <t>Offline</t>
        </is>
      </c>
      <c r="H7" s="200" t="inlineStr">
        <is>
          <t>Assessment - Communicate 360</t>
        </is>
      </c>
      <c r="I7" s="201" t="n">
        <v>20</v>
      </c>
    </row>
    <row r="8" ht="21.75" customHeight="1" s="156">
      <c r="A8" s="199" t="n">
        <v>2</v>
      </c>
      <c r="B8" s="200" t="inlineStr">
        <is>
          <t>Support Training</t>
        </is>
      </c>
      <c r="C8" s="200" t="inlineStr">
        <is>
          <t>Batch 3 - C360 Training</t>
        </is>
      </c>
      <c r="D8" s="200" t="inlineStr">
        <is>
          <t>21-Apr</t>
        </is>
      </c>
      <c r="E8" s="200" t="inlineStr">
        <is>
          <t>24-Apr</t>
        </is>
      </c>
      <c r="F8" s="200" t="inlineStr">
        <is>
          <t>Freeda Reshma Dsouza</t>
        </is>
      </c>
      <c r="G8" s="200" t="inlineStr">
        <is>
          <t>Offline</t>
        </is>
      </c>
      <c r="H8" s="200" t="inlineStr">
        <is>
          <t>Assessment - Communicate 360</t>
        </is>
      </c>
      <c r="I8" s="201" t="n">
        <v>20</v>
      </c>
    </row>
    <row r="9" ht="21.75" customHeight="1" s="156">
      <c r="A9" s="199" t="n">
        <v>3</v>
      </c>
      <c r="B9" s="200" t="inlineStr">
        <is>
          <t>Support Training</t>
        </is>
      </c>
      <c r="C9" s="200" t="inlineStr">
        <is>
          <t>Batch 2 - C360 (Girish)</t>
        </is>
      </c>
      <c r="D9" s="200" t="inlineStr">
        <is>
          <t>21-Apr</t>
        </is>
      </c>
      <c r="E9" s="200" t="inlineStr">
        <is>
          <t>24-Apr</t>
        </is>
      </c>
      <c r="F9" s="200" t="inlineStr">
        <is>
          <t>Girish A</t>
        </is>
      </c>
      <c r="G9" s="200" t="inlineStr">
        <is>
          <t>Offline</t>
        </is>
      </c>
      <c r="H9" s="200" t="inlineStr">
        <is>
          <t>Assessment - Communicate 360</t>
        </is>
      </c>
      <c r="I9" s="201" t="n">
        <v>9</v>
      </c>
    </row>
    <row r="10" ht="21.75" customHeight="1" s="156">
      <c r="A10" s="199" t="n">
        <v>4</v>
      </c>
      <c r="B10" s="200" t="inlineStr">
        <is>
          <t>Support Training</t>
        </is>
      </c>
      <c r="C10" s="200" t="inlineStr">
        <is>
          <t>Batch - C360 (Harish)</t>
        </is>
      </c>
      <c r="D10" s="200" t="inlineStr">
        <is>
          <t>21-Apr</t>
        </is>
      </c>
      <c r="E10" s="200" t="inlineStr">
        <is>
          <t>24-Apr</t>
        </is>
      </c>
      <c r="F10" s="200" t="inlineStr">
        <is>
          <t>Harish Bhat</t>
        </is>
      </c>
      <c r="G10" s="200" t="inlineStr">
        <is>
          <t>Offline</t>
        </is>
      </c>
      <c r="H10" s="200" t="inlineStr">
        <is>
          <t>Assessment - Communicate 360</t>
        </is>
      </c>
      <c r="I10" s="201" t="n">
        <v>9</v>
      </c>
    </row>
    <row r="11" ht="21.75" customHeight="1" s="156">
      <c r="A11" s="199" t="n">
        <v>5</v>
      </c>
      <c r="B11" s="200" t="inlineStr">
        <is>
          <t>Support Training</t>
        </is>
      </c>
      <c r="C11" s="200" t="inlineStr">
        <is>
          <t>Tool Building - C360 Modifications</t>
        </is>
      </c>
      <c r="D11" s="200" t="inlineStr">
        <is>
          <t>13-Apr</t>
        </is>
      </c>
      <c r="E11" s="200" t="inlineStr">
        <is>
          <t>30-Apr</t>
        </is>
      </c>
      <c r="F11" s="200" t="inlineStr">
        <is>
          <t>Raju Vernekar / Girish A / Harish Bhat</t>
        </is>
      </c>
      <c r="G11" s="200" t="inlineStr">
        <is>
          <t>Offline</t>
        </is>
      </c>
      <c r="H11" s="200" t="inlineStr">
        <is>
          <t>Tool Building - C360 Modifications</t>
        </is>
      </c>
      <c r="I11" s="201" t="n">
        <v>15</v>
      </c>
    </row>
    <row r="12" ht="21.75" customHeight="1" s="156">
      <c r="A12" s="199" t="n">
        <v>6</v>
      </c>
      <c r="B12" s="200" t="inlineStr">
        <is>
          <t>Assessment</t>
        </is>
      </c>
      <c r="C12" s="200" t="inlineStr">
        <is>
          <t>Batch 1 - Correction C360</t>
        </is>
      </c>
      <c r="D12" s="200" t="inlineStr">
        <is>
          <t>11-Apr</t>
        </is>
      </c>
      <c r="E12" s="200" t="inlineStr">
        <is>
          <t>15-Apr</t>
        </is>
      </c>
      <c r="F12" s="200" t="inlineStr">
        <is>
          <t>Freeda Reshma Dsouza / Girish A / Harish Bhat</t>
        </is>
      </c>
      <c r="G12" s="200" t="inlineStr">
        <is>
          <t>Offline</t>
        </is>
      </c>
      <c r="H12" s="200" t="inlineStr">
        <is>
          <t>Correction of Assessment - C360</t>
        </is>
      </c>
      <c r="I12" s="201" t="n">
        <v>30</v>
      </c>
    </row>
    <row r="13" ht="21.75" customHeight="1" s="156">
      <c r="A13" s="199" t="n">
        <v>7</v>
      </c>
      <c r="B13" s="200" t="inlineStr">
        <is>
          <t>Assessment</t>
        </is>
      </c>
      <c r="C13" s="200" t="inlineStr">
        <is>
          <t>Batch 2 - Correction C360</t>
        </is>
      </c>
      <c r="D13" s="200" t="inlineStr">
        <is>
          <t>27-Apr</t>
        </is>
      </c>
      <c r="E13" s="200" t="inlineStr">
        <is>
          <t>30-Apr</t>
        </is>
      </c>
      <c r="F13" s="200" t="inlineStr">
        <is>
          <t>Girish A / Harish Bhat</t>
        </is>
      </c>
      <c r="G13" s="200" t="inlineStr">
        <is>
          <t>Offline</t>
        </is>
      </c>
      <c r="H13" s="200" t="inlineStr">
        <is>
          <t>Correction of Assessment - C360</t>
        </is>
      </c>
      <c r="I13" s="201" t="n">
        <v>15</v>
      </c>
    </row>
    <row r="14" ht="21.75" customHeight="1" s="156">
      <c r="A14" s="199" t="n">
        <v>8</v>
      </c>
      <c r="B14" s="200" t="inlineStr">
        <is>
          <t>Support Training</t>
        </is>
      </c>
      <c r="C14" s="200" t="inlineStr">
        <is>
          <t>Batch 1&amp;2 Report Generation</t>
        </is>
      </c>
      <c r="D14" s="200" t="inlineStr">
        <is>
          <t>21-Apr</t>
        </is>
      </c>
      <c r="E14" s="200" t="inlineStr">
        <is>
          <t>21-Apr</t>
        </is>
      </c>
      <c r="F14" s="200" t="inlineStr">
        <is>
          <t>Harish Bhat</t>
        </is>
      </c>
      <c r="G14" s="200" t="inlineStr">
        <is>
          <t>Offline</t>
        </is>
      </c>
      <c r="H14" s="200" t="inlineStr">
        <is>
          <t>Report Generation - C360</t>
        </is>
      </c>
      <c r="I14" s="201" t="n">
        <v>8</v>
      </c>
    </row>
    <row r="15" ht="21.75" customHeight="1" s="156">
      <c r="A15" s="196" t="n">
        <v>9</v>
      </c>
      <c r="B15" s="197" t="inlineStr">
        <is>
          <t>Accop Training</t>
        </is>
      </c>
      <c r="C15" s="197" t="inlineStr">
        <is>
          <t>Session on AML &amp; Stock tips</t>
        </is>
      </c>
      <c r="D15" s="197" t="inlineStr">
        <is>
          <t>23-Apr</t>
        </is>
      </c>
      <c r="E15" s="197" t="inlineStr">
        <is>
          <t>23-Apr</t>
        </is>
      </c>
      <c r="F15" s="197" t="inlineStr">
        <is>
          <t>Girish A</t>
        </is>
      </c>
      <c r="G15" s="197" t="inlineStr">
        <is>
          <t>Online</t>
        </is>
      </c>
      <c r="H15" s="197" t="inlineStr">
        <is>
          <t>AML &amp; Stock tips</t>
        </is>
      </c>
      <c r="I15" s="198" t="n">
        <v>1.75</v>
      </c>
    </row>
    <row r="16" ht="21.75" customHeight="1" s="156">
      <c r="A16" s="196" t="n">
        <v>10</v>
      </c>
      <c r="B16" s="197" t="inlineStr">
        <is>
          <t>NRI Team Training</t>
        </is>
      </c>
      <c r="C16" s="197" t="inlineStr">
        <is>
          <t>Session on AML &amp; Stock tips</t>
        </is>
      </c>
      <c r="D16" s="197" t="inlineStr">
        <is>
          <t>27-Apr</t>
        </is>
      </c>
      <c r="E16" s="197" t="inlineStr">
        <is>
          <t>27-Apr</t>
        </is>
      </c>
      <c r="F16" s="197" t="inlineStr">
        <is>
          <t>Harish Bhat</t>
        </is>
      </c>
      <c r="G16" s="197" t="inlineStr">
        <is>
          <t>Online</t>
        </is>
      </c>
      <c r="H16" s="197" t="inlineStr">
        <is>
          <t>AML &amp; Stock tips</t>
        </is>
      </c>
      <c r="I16" s="198" t="n">
        <v>1.75</v>
      </c>
    </row>
    <row r="17" ht="21.75" customHeight="1" s="156">
      <c r="A17" s="196" t="n">
        <v>11</v>
      </c>
      <c r="B17" s="197" t="inlineStr">
        <is>
          <t>Fresh Hires Training</t>
        </is>
      </c>
      <c r="C17" s="197" t="inlineStr">
        <is>
          <t>Session on AML &amp; Stock tips</t>
        </is>
      </c>
      <c r="D17" s="197" t="inlineStr">
        <is>
          <t>29-Apr</t>
        </is>
      </c>
      <c r="E17" s="197" t="inlineStr">
        <is>
          <t>29-Apr</t>
        </is>
      </c>
      <c r="F17" s="197" t="inlineStr">
        <is>
          <t>Girish A</t>
        </is>
      </c>
      <c r="G17" s="197" t="inlineStr">
        <is>
          <t>Online</t>
        </is>
      </c>
      <c r="H17" s="197" t="inlineStr">
        <is>
          <t>AML &amp; Stock tips</t>
        </is>
      </c>
      <c r="I17" s="198" t="n">
        <v>0.75</v>
      </c>
    </row>
    <row r="18" ht="21.75" customHeight="1" s="156">
      <c r="A18" s="196" t="n">
        <v>12</v>
      </c>
      <c r="B18" s="197" t="inlineStr">
        <is>
          <t>Training Need Analysis</t>
        </is>
      </c>
      <c r="C18" s="197" t="inlineStr">
        <is>
          <t>Understanding requirements from CS</t>
        </is>
      </c>
      <c r="D18" s="197" t="inlineStr">
        <is>
          <t>16-Apr</t>
        </is>
      </c>
      <c r="E18" s="197" t="inlineStr">
        <is>
          <t>16-Apr</t>
        </is>
      </c>
      <c r="F18" s="197" t="inlineStr">
        <is>
          <t>Freeda Reshma Dsouza</t>
        </is>
      </c>
      <c r="G18" s="197" t="inlineStr">
        <is>
          <t>Online</t>
        </is>
      </c>
      <c r="H18" s="197" t="inlineStr">
        <is>
          <t>Training Need Analysis</t>
        </is>
      </c>
      <c r="I18" s="198" t="n">
        <v>1</v>
      </c>
    </row>
    <row r="19" ht="21.75" customHeight="1" s="156">
      <c r="A19" s="196" t="n">
        <v>13</v>
      </c>
      <c r="B19" s="197" t="inlineStr">
        <is>
          <t>Self Assessment Form</t>
        </is>
      </c>
      <c r="C19" s="197" t="inlineStr">
        <is>
          <t>Building self assessment for CS</t>
        </is>
      </c>
      <c r="D19" s="197" t="inlineStr">
        <is>
          <t>17-Apr</t>
        </is>
      </c>
      <c r="E19" s="197" t="inlineStr">
        <is>
          <t>17-Apr</t>
        </is>
      </c>
      <c r="F19" s="197" t="inlineStr">
        <is>
          <t>Freeda Reshma Dsouza</t>
        </is>
      </c>
      <c r="G19" s="197" t="inlineStr">
        <is>
          <t>Online</t>
        </is>
      </c>
      <c r="H19" s="197" t="inlineStr">
        <is>
          <t>Self Assessment</t>
        </is>
      </c>
      <c r="I19" s="198" t="n">
        <v>0.5</v>
      </c>
    </row>
    <row r="20" ht="21.75" customHeight="1" s="156">
      <c r="A20" s="199" t="n">
        <v>14</v>
      </c>
      <c r="B20" s="200" t="inlineStr">
        <is>
          <t>Varsity Scripts Writing</t>
        </is>
      </c>
      <c r="C20" s="200" t="inlineStr">
        <is>
          <t>Script preparation</t>
        </is>
      </c>
      <c r="D20" s="200" t="inlineStr">
        <is>
          <t>-</t>
        </is>
      </c>
      <c r="E20" s="200" t="inlineStr">
        <is>
          <t>-</t>
        </is>
      </c>
      <c r="F20" s="200" t="inlineStr">
        <is>
          <t>Harish Bhat</t>
        </is>
      </c>
      <c r="G20" s="200" t="inlineStr">
        <is>
          <t>Offline</t>
        </is>
      </c>
      <c r="H20" s="200" t="inlineStr">
        <is>
          <t>Varsity Scripts</t>
        </is>
      </c>
      <c r="I20" s="201" t="n">
        <v>2</v>
      </c>
    </row>
    <row r="21" ht="21.75" customHeight="1" s="156">
      <c r="A21" s="199" t="n">
        <v>15</v>
      </c>
      <c r="B21" s="200" t="inlineStr">
        <is>
          <t>Varsity Video Shoot</t>
        </is>
      </c>
      <c r="C21" s="200" t="inlineStr">
        <is>
          <t>Video recording</t>
        </is>
      </c>
      <c r="D21" s="200" t="inlineStr">
        <is>
          <t>-</t>
        </is>
      </c>
      <c r="E21" s="200" t="inlineStr">
        <is>
          <t>-</t>
        </is>
      </c>
      <c r="F21" s="200" t="inlineStr">
        <is>
          <t>Harish Bhat</t>
        </is>
      </c>
      <c r="G21" s="200" t="inlineStr">
        <is>
          <t>Offline</t>
        </is>
      </c>
      <c r="H21" s="200" t="inlineStr">
        <is>
          <t>Varsity Videos</t>
        </is>
      </c>
      <c r="I21" s="201" t="n">
        <v>2</v>
      </c>
    </row>
    <row r="22" ht="21.75" customHeight="1" s="156">
      <c r="A22" s="199" t="n">
        <v>16</v>
      </c>
      <c r="B22" s="200" t="inlineStr">
        <is>
          <t>Varsity Backend Support</t>
        </is>
      </c>
      <c r="C22" s="200" t="inlineStr">
        <is>
          <t>Tickets, exam schedule</t>
        </is>
      </c>
      <c r="D22" s="200" t="inlineStr">
        <is>
          <t>-</t>
        </is>
      </c>
      <c r="E22" s="200" t="inlineStr">
        <is>
          <t>-</t>
        </is>
      </c>
      <c r="F22" s="200" t="inlineStr">
        <is>
          <t>Harish Bhat</t>
        </is>
      </c>
      <c r="G22" s="200" t="inlineStr">
        <is>
          <t>Offline</t>
        </is>
      </c>
      <c r="H22" s="200" t="inlineStr">
        <is>
          <t>Varsity Backend</t>
        </is>
      </c>
      <c r="I22" s="201" t="n">
        <v>15</v>
      </c>
    </row>
    <row r="23" ht="21.75" customHeight="1" s="156">
      <c r="A23" s="199" t="n">
        <v>17</v>
      </c>
      <c r="B23" s="200" t="inlineStr">
        <is>
          <t>Mock Calls</t>
        </is>
      </c>
      <c r="C23" s="200" t="inlineStr">
        <is>
          <t>Mock calls for SM</t>
        </is>
      </c>
      <c r="D23" s="200" t="inlineStr">
        <is>
          <t>30-Apr</t>
        </is>
      </c>
      <c r="E23" s="200" t="inlineStr">
        <is>
          <t>30-Apr</t>
        </is>
      </c>
      <c r="F23" s="200" t="inlineStr">
        <is>
          <t>Harish Bhat</t>
        </is>
      </c>
      <c r="G23" s="200" t="inlineStr">
        <is>
          <t>Offline</t>
        </is>
      </c>
      <c r="H23" s="200" t="inlineStr">
        <is>
          <t>Mock calls</t>
        </is>
      </c>
      <c r="I23" s="201" t="n">
        <v>2</v>
      </c>
    </row>
    <row r="24" ht="21.75" customHeight="1" s="156">
      <c r="A24" s="199" t="n">
        <v>18</v>
      </c>
      <c r="B24" s="200" t="inlineStr">
        <is>
          <t>Mock Calls</t>
        </is>
      </c>
      <c r="C24" s="200" t="inlineStr">
        <is>
          <t>Mock calls for SM</t>
        </is>
      </c>
      <c r="D24" s="200" t="inlineStr">
        <is>
          <t>30-Apr</t>
        </is>
      </c>
      <c r="E24" s="200" t="inlineStr">
        <is>
          <t>30-Apr</t>
        </is>
      </c>
      <c r="F24" s="200" t="inlineStr">
        <is>
          <t>Girish A</t>
        </is>
      </c>
      <c r="G24" s="200" t="inlineStr">
        <is>
          <t>Offline</t>
        </is>
      </c>
      <c r="H24" s="200" t="inlineStr">
        <is>
          <t>Mock calls</t>
        </is>
      </c>
      <c r="I24" s="201" t="n">
        <v>2</v>
      </c>
    </row>
    <row r="25" ht="21.75" customHeight="1" s="156">
      <c r="A25" s="196" t="n">
        <v>19</v>
      </c>
      <c r="B25" s="197" t="inlineStr">
        <is>
          <t>Ticket Tool Video</t>
        </is>
      </c>
      <c r="C25" s="197" t="inlineStr">
        <is>
          <t>Video production</t>
        </is>
      </c>
      <c r="D25" s="197" t="inlineStr">
        <is>
          <t>2-May</t>
        </is>
      </c>
      <c r="E25" s="197" t="inlineStr">
        <is>
          <t>2-May</t>
        </is>
      </c>
      <c r="F25" s="197" t="inlineStr">
        <is>
          <t>Harish Bhat</t>
        </is>
      </c>
      <c r="G25" s="197" t="inlineStr">
        <is>
          <t>Online</t>
        </is>
      </c>
      <c r="H25" s="197" t="inlineStr">
        <is>
          <t>Ticket Tool</t>
        </is>
      </c>
      <c r="I25" s="198" t="n">
        <v>3</v>
      </c>
    </row>
    <row r="26" ht="27.75" customHeight="1" s="156">
      <c r="A26" s="202" t="inlineStr">
        <is>
          <t>TOTAL MAN HOURS THIS MONTH</t>
        </is>
      </c>
      <c r="B26" s="202" t="n"/>
      <c r="C26" s="202" t="n"/>
      <c r="D26" s="202" t="n"/>
      <c r="E26" s="202" t="n"/>
      <c r="F26" s="202" t="n"/>
      <c r="G26" s="202" t="n"/>
      <c r="H26" s="202" t="n"/>
      <c r="I26" s="203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6:H26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16" t="inlineStr">
        <is>
          <t>MAY 2026  —  TRAINING LOG</t>
        </is>
      </c>
      <c r="B2" s="217" t="n"/>
      <c r="C2" s="217" t="n"/>
      <c r="D2" s="217" t="n"/>
      <c r="E2" s="217" t="n"/>
      <c r="F2" s="217" t="n"/>
      <c r="G2" s="217" t="n"/>
      <c r="H2" s="217" t="n"/>
      <c r="I2" s="218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19" t="inlineStr">
        <is>
          <t>Zerodha Training &amp; Development  ·  All activities recorded for this month</t>
        </is>
      </c>
      <c r="B3" s="217" t="n"/>
      <c r="C3" s="217" t="n"/>
      <c r="D3" s="217" t="n"/>
      <c r="E3" s="217" t="n"/>
      <c r="F3" s="217" t="n"/>
      <c r="G3" s="217" t="n"/>
      <c r="H3" s="217" t="n"/>
      <c r="I3" s="218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0" t="inlineStr">
        <is>
          <t>← Use the sheet tabs at the bottom to navigate to other months or Dashboard</t>
        </is>
      </c>
      <c r="B4" s="217" t="n"/>
      <c r="C4" s="217" t="n"/>
      <c r="D4" s="217" t="n"/>
      <c r="E4" s="217" t="n"/>
      <c r="F4" s="217" t="n"/>
      <c r="G4" s="217" t="n"/>
      <c r="H4" s="217" t="n"/>
      <c r="I4" s="218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196" t="n">
        <v>1</v>
      </c>
      <c r="B7" s="197" t="inlineStr">
        <is>
          <t>Support Training</t>
        </is>
      </c>
      <c r="C7" s="197" t="inlineStr">
        <is>
          <t>Session on AML and unsolicited SMS and tips</t>
        </is>
      </c>
      <c r="D7" s="197" t="inlineStr">
        <is>
          <t>2026-05-15</t>
        </is>
      </c>
      <c r="E7" s="197" t="inlineStr">
        <is>
          <t>—</t>
        </is>
      </c>
      <c r="F7" s="197" t="inlineStr">
        <is>
          <t>Girish A</t>
        </is>
      </c>
      <c r="G7" s="197" t="inlineStr">
        <is>
          <t>Online</t>
        </is>
      </c>
      <c r="H7" s="197" t="inlineStr">
        <is>
          <t>Session on AML and unsolicited SMS and tips</t>
        </is>
      </c>
      <c r="I7" s="198" t="n">
        <v>0.75</v>
      </c>
    </row>
    <row r="8" ht="21.75" customHeight="1" s="156">
      <c r="A8" s="196" t="n">
        <v>2</v>
      </c>
      <c r="B8" s="197" t="inlineStr">
        <is>
          <t>Support Training</t>
        </is>
      </c>
      <c r="C8" s="197" t="inlineStr">
        <is>
          <t>Session on AML and Unsolicited SMS &amp; Tips</t>
        </is>
      </c>
      <c r="D8" s="197" t="inlineStr">
        <is>
          <t>2026-05-15</t>
        </is>
      </c>
      <c r="E8" s="197" t="inlineStr">
        <is>
          <t>—</t>
        </is>
      </c>
      <c r="F8" s="197" t="inlineStr">
        <is>
          <t>Harish Bhat</t>
        </is>
      </c>
      <c r="G8" s="197" t="inlineStr">
        <is>
          <t>Online</t>
        </is>
      </c>
      <c r="H8" s="197" t="inlineStr">
        <is>
          <t>Session on AML and Unsolicited SMS &amp; Tips</t>
        </is>
      </c>
      <c r="I8" s="198" t="n">
        <v>0.75</v>
      </c>
    </row>
    <row r="9" ht="21.75" customHeight="1" s="156">
      <c r="A9" s="196" t="n">
        <v>3</v>
      </c>
      <c r="B9" s="197" t="inlineStr">
        <is>
          <t>Support Training</t>
        </is>
      </c>
      <c r="C9" s="197" t="inlineStr">
        <is>
          <t>Meeting with CS</t>
        </is>
      </c>
      <c r="D9" s="197" t="inlineStr">
        <is>
          <t>2026-05-18</t>
        </is>
      </c>
      <c r="E9" s="197" t="inlineStr">
        <is>
          <t>—</t>
        </is>
      </c>
      <c r="F9" s="197" t="inlineStr">
        <is>
          <t>Freeda Reshma Dsouza</t>
        </is>
      </c>
      <c r="G9" s="197" t="inlineStr">
        <is>
          <t>Online</t>
        </is>
      </c>
      <c r="H9" s="197" t="inlineStr">
        <is>
          <t>Meeting with CS</t>
        </is>
      </c>
      <c r="I9" s="198" t="n">
        <v>0.25</v>
      </c>
    </row>
    <row r="10" ht="21.75" customHeight="1" s="156">
      <c r="A10" s="196" t="n">
        <v>4</v>
      </c>
      <c r="B10" s="197" t="inlineStr">
        <is>
          <t>Support Training</t>
        </is>
      </c>
      <c r="C10" s="197" t="inlineStr">
        <is>
          <t>Session on Primary and Secondary transfer of securities and SOPs of Abusive calls</t>
        </is>
      </c>
      <c r="D10" s="197" t="inlineStr">
        <is>
          <t>2026-05-22</t>
        </is>
      </c>
      <c r="E10" s="197" t="inlineStr">
        <is>
          <t>—</t>
        </is>
      </c>
      <c r="F10" s="197" t="inlineStr">
        <is>
          <t>Girish A</t>
        </is>
      </c>
      <c r="G10" s="197" t="inlineStr">
        <is>
          <t>Online</t>
        </is>
      </c>
      <c r="H10" s="197" t="inlineStr">
        <is>
          <t>Session on Primary and Secondary transfer of securities and SOPs of Abusive calls</t>
        </is>
      </c>
      <c r="I10" s="198" t="n">
        <v>1</v>
      </c>
    </row>
    <row r="11" ht="21.75" customHeight="1" s="156">
      <c r="A11" s="196" t="n">
        <v>5</v>
      </c>
      <c r="B11" s="197" t="inlineStr">
        <is>
          <t>Support Training</t>
        </is>
      </c>
      <c r="C11" s="197" t="inlineStr">
        <is>
          <t>Session on Primary and Secondary transfer of securities and SOPs of Abusive calls</t>
        </is>
      </c>
      <c r="D11" s="197" t="inlineStr">
        <is>
          <t>2026-05-22</t>
        </is>
      </c>
      <c r="E11" s="197" t="inlineStr">
        <is>
          <t>—</t>
        </is>
      </c>
      <c r="F11" s="197" t="inlineStr">
        <is>
          <t>Girish A</t>
        </is>
      </c>
      <c r="G11" s="197" t="inlineStr">
        <is>
          <t>Online</t>
        </is>
      </c>
      <c r="H11" s="197" t="inlineStr">
        <is>
          <t>Session on Primary and Secondary transfer of securities and SOPs of Abusive calls</t>
        </is>
      </c>
      <c r="I11" s="198" t="n">
        <v>1</v>
      </c>
    </row>
    <row r="12" ht="21.75" customHeight="1" s="156">
      <c r="A12" s="196" t="n">
        <v>6</v>
      </c>
      <c r="B12" s="197" t="inlineStr">
        <is>
          <t>Support Training</t>
        </is>
      </c>
      <c r="C12" s="197" t="inlineStr">
        <is>
          <t>Reviweing the Mock call and Pick &amp; Speak Assessments</t>
        </is>
      </c>
      <c r="D12" s="197" t="inlineStr">
        <is>
          <t>2026-05-18</t>
        </is>
      </c>
      <c r="E12" s="197" t="inlineStr">
        <is>
          <t>—</t>
        </is>
      </c>
      <c r="F12" s="197" t="inlineStr">
        <is>
          <t>Girish A</t>
        </is>
      </c>
      <c r="G12" s="197" t="inlineStr">
        <is>
          <t>Online</t>
        </is>
      </c>
      <c r="H12" s="197" t="inlineStr">
        <is>
          <t>Reviweing the Mock call and Pick &amp; Speak Assessments</t>
        </is>
      </c>
      <c r="I12" s="198" t="n">
        <v>2.5</v>
      </c>
    </row>
    <row r="13" ht="21.75" customHeight="1" s="156">
      <c r="A13" s="196" t="n">
        <v>7</v>
      </c>
      <c r="B13" s="197" t="inlineStr">
        <is>
          <t>Support Training</t>
        </is>
      </c>
      <c r="C13" s="197" t="inlineStr">
        <is>
          <t>AML &amp; Unsolicited SMS training</t>
        </is>
      </c>
      <c r="D13" s="197" t="inlineStr">
        <is>
          <t>2026-05-08</t>
        </is>
      </c>
      <c r="E13" s="197" t="inlineStr">
        <is>
          <t>—</t>
        </is>
      </c>
      <c r="F13" s="197" t="inlineStr">
        <is>
          <t>Girish A</t>
        </is>
      </c>
      <c r="G13" s="197" t="inlineStr">
        <is>
          <t>Online</t>
        </is>
      </c>
      <c r="H13" s="197" t="inlineStr">
        <is>
          <t>AML &amp; Unsolicited SMS training</t>
        </is>
      </c>
      <c r="I13" s="198" t="n">
        <v>0.75</v>
      </c>
    </row>
    <row r="14" ht="21.75" customHeight="1" s="156">
      <c r="A14" s="196" t="n">
        <v>8</v>
      </c>
      <c r="B14" s="197" t="inlineStr">
        <is>
          <t>Support Training</t>
        </is>
      </c>
      <c r="C14" s="197" t="inlineStr">
        <is>
          <t>Session on Primary and Secondary transfer of securities and SOPs of Abusive calls</t>
        </is>
      </c>
      <c r="D14" s="197" t="inlineStr">
        <is>
          <t>2026-05-20</t>
        </is>
      </c>
      <c r="E14" s="197" t="inlineStr">
        <is>
          <t>—</t>
        </is>
      </c>
      <c r="F14" s="197" t="inlineStr">
        <is>
          <t>Girish A</t>
        </is>
      </c>
      <c r="G14" s="197" t="inlineStr">
        <is>
          <t>Online</t>
        </is>
      </c>
      <c r="H14" s="197" t="inlineStr">
        <is>
          <t>Session on Primary and Secondary transfer of securities and SOPs of Abusive calls</t>
        </is>
      </c>
      <c r="I14" s="198" t="n">
        <v>1</v>
      </c>
    </row>
    <row r="15" ht="21.75" customHeight="1" s="156">
      <c r="A15" s="196" t="n">
        <v>9</v>
      </c>
      <c r="B15" s="197" t="inlineStr">
        <is>
          <t>Other</t>
        </is>
      </c>
      <c r="C15" s="197" t="inlineStr">
        <is>
          <t>Meeting with legal team</t>
        </is>
      </c>
      <c r="D15" s="197" t="inlineStr">
        <is>
          <t>2026-05-12</t>
        </is>
      </c>
      <c r="E15" s="197" t="inlineStr">
        <is>
          <t>—</t>
        </is>
      </c>
      <c r="F15" s="197" t="inlineStr">
        <is>
          <t>Harish Bhat</t>
        </is>
      </c>
      <c r="G15" s="197" t="inlineStr">
        <is>
          <t>Online</t>
        </is>
      </c>
      <c r="H15" s="197" t="inlineStr">
        <is>
          <t>Rupeetales meeting</t>
        </is>
      </c>
      <c r="I15" s="198" t="n">
        <v>0.5</v>
      </c>
    </row>
    <row r="16" ht="21.75" customHeight="1" s="156">
      <c r="A16" s="196" t="n">
        <v>10</v>
      </c>
      <c r="B16" s="197" t="inlineStr">
        <is>
          <t>Support Training</t>
        </is>
      </c>
      <c r="C16" s="197" t="inlineStr">
        <is>
          <t>Training for CS</t>
        </is>
      </c>
      <c r="D16" s="197" t="inlineStr">
        <is>
          <t>2026-05-19</t>
        </is>
      </c>
      <c r="E16" s="197" t="inlineStr">
        <is>
          <t>—</t>
        </is>
      </c>
      <c r="F16" s="197" t="inlineStr">
        <is>
          <t>Freeda Reshma Dsouza</t>
        </is>
      </c>
      <c r="G16" s="197" t="inlineStr">
        <is>
          <t>Online</t>
        </is>
      </c>
      <c r="H16" s="197" t="inlineStr">
        <is>
          <t>Training for CS</t>
        </is>
      </c>
      <c r="I16" s="198" t="n">
        <v>1.5</v>
      </c>
    </row>
    <row r="17" ht="21.75" customHeight="1" s="156">
      <c r="A17" s="196" t="n">
        <v>11</v>
      </c>
      <c r="B17" s="197" t="inlineStr">
        <is>
          <t>Support Training</t>
        </is>
      </c>
      <c r="C17" s="197" t="inlineStr">
        <is>
          <t>Session on Primary and Secondary transfer of securities and SOPs of Abusive calls</t>
        </is>
      </c>
      <c r="D17" s="197" t="inlineStr">
        <is>
          <t>2026-05-20</t>
        </is>
      </c>
      <c r="E17" s="197" t="inlineStr">
        <is>
          <t>—</t>
        </is>
      </c>
      <c r="F17" s="197" t="inlineStr">
        <is>
          <t>Harish Bhat</t>
        </is>
      </c>
      <c r="G17" s="197" t="inlineStr">
        <is>
          <t>Online</t>
        </is>
      </c>
      <c r="H17" s="197" t="inlineStr">
        <is>
          <t>Session on Primary and Secondary transfer of securities and SOPs of Abusive calls</t>
        </is>
      </c>
      <c r="I17" s="198" t="n">
        <v>1.25</v>
      </c>
    </row>
    <row r="18" ht="21.75" customHeight="1" s="156">
      <c r="A18" s="196" t="n">
        <v>12</v>
      </c>
      <c r="B18" s="197" t="inlineStr">
        <is>
          <t>Support Training</t>
        </is>
      </c>
      <c r="C18" s="197" t="inlineStr">
        <is>
          <t>Session on Primary and Secondary transfer of securities and SOPs of Abusive calls ·  Harish</t>
        </is>
      </c>
      <c r="D18" s="197" t="inlineStr">
        <is>
          <t>2026-05-21</t>
        </is>
      </c>
      <c r="E18" s="197" t="inlineStr">
        <is>
          <t>—</t>
        </is>
      </c>
      <c r="F18" s="197" t="inlineStr">
        <is>
          <t>Harish Bhat</t>
        </is>
      </c>
      <c r="G18" s="197" t="inlineStr">
        <is>
          <t>Online</t>
        </is>
      </c>
      <c r="H18" s="197" t="inlineStr">
        <is>
          <t>Session on Primary and Secondary transfer of securities and SOPs of Abusive calls ·  Harish</t>
        </is>
      </c>
      <c r="I18" s="198" t="n">
        <v>1.25</v>
      </c>
    </row>
    <row r="19" ht="21.75" customHeight="1" s="156">
      <c r="A19" s="199" t="n">
        <v>13</v>
      </c>
      <c r="B19" s="200" t="inlineStr">
        <is>
          <t>Support Training</t>
        </is>
      </c>
      <c r="C19" s="200" t="inlineStr">
        <is>
          <t>Sadique team</t>
        </is>
      </c>
      <c r="D19" s="200" t="inlineStr">
        <is>
          <t>2026-05-04</t>
        </is>
      </c>
      <c r="E19" s="200" t="inlineStr">
        <is>
          <t>—</t>
        </is>
      </c>
      <c r="F19" s="200" t="inlineStr">
        <is>
          <t>Freeda Reshma Dsouza</t>
        </is>
      </c>
      <c r="G19" s="200" t="inlineStr">
        <is>
          <t>Offline</t>
        </is>
      </c>
      <c r="H19" s="200" t="inlineStr">
        <is>
          <t>Communicate 360- Anish's team</t>
        </is>
      </c>
      <c r="I19" s="201" t="n">
        <v>4.5</v>
      </c>
    </row>
    <row r="20" ht="21.75" customHeight="1" s="156">
      <c r="A20" s="199" t="n">
        <v>14</v>
      </c>
      <c r="B20" s="200" t="inlineStr">
        <is>
          <t>Support Training</t>
        </is>
      </c>
      <c r="C20" s="200" t="inlineStr">
        <is>
          <t>Communicate 360- Anish's team</t>
        </is>
      </c>
      <c r="D20" s="200" t="inlineStr">
        <is>
          <t>2026-05-05</t>
        </is>
      </c>
      <c r="E20" s="200" t="inlineStr">
        <is>
          <t>—</t>
        </is>
      </c>
      <c r="F20" s="200" t="inlineStr">
        <is>
          <t>Freeda Reshma Dsouza</t>
        </is>
      </c>
      <c r="G20" s="200" t="inlineStr">
        <is>
          <t>Offline</t>
        </is>
      </c>
      <c r="H20" s="200" t="inlineStr">
        <is>
          <t>Communicate 360- Anish's team</t>
        </is>
      </c>
      <c r="I20" s="201" t="n">
        <v>4.5</v>
      </c>
    </row>
    <row r="21" ht="21.75" customHeight="1" s="156">
      <c r="A21" s="199" t="n">
        <v>15</v>
      </c>
      <c r="B21" s="200" t="inlineStr">
        <is>
          <t>Support Training</t>
        </is>
      </c>
      <c r="C21" s="200" t="inlineStr">
        <is>
          <t>Communicate 360- Anish's team</t>
        </is>
      </c>
      <c r="D21" s="200" t="inlineStr">
        <is>
          <t>2026-05-06</t>
        </is>
      </c>
      <c r="E21" s="200" t="inlineStr">
        <is>
          <t>—</t>
        </is>
      </c>
      <c r="F21" s="200" t="inlineStr">
        <is>
          <t>Freeda Reshma Dsouza</t>
        </is>
      </c>
      <c r="G21" s="200" t="inlineStr">
        <is>
          <t>Offline</t>
        </is>
      </c>
      <c r="H21" s="200" t="inlineStr">
        <is>
          <t>Communicate 360- Anish's team</t>
        </is>
      </c>
      <c r="I21" s="201" t="n">
        <v>3.5</v>
      </c>
    </row>
    <row r="22" ht="27.75" customHeight="1" s="156">
      <c r="A22" s="199" t="n">
        <v>16</v>
      </c>
      <c r="B22" s="200" t="inlineStr">
        <is>
          <t>Support Training</t>
        </is>
      </c>
      <c r="C22" s="200" t="inlineStr">
        <is>
          <t>Communicate 360- Anish's team</t>
        </is>
      </c>
      <c r="D22" s="200" t="inlineStr">
        <is>
          <t>2026-05-07</t>
        </is>
      </c>
      <c r="E22" s="200" t="inlineStr">
        <is>
          <t>—</t>
        </is>
      </c>
      <c r="F22" s="200" t="inlineStr">
        <is>
          <t>Freeda Reshma Dsouza</t>
        </is>
      </c>
      <c r="G22" s="200" t="inlineStr">
        <is>
          <t>Offline</t>
        </is>
      </c>
      <c r="H22" s="200" t="inlineStr">
        <is>
          <t>Communicate 360- Anish's team</t>
        </is>
      </c>
      <c r="I22" s="201" t="n">
        <v>3.5</v>
      </c>
    </row>
    <row r="23" ht="27.75" customHeight="1" s="156">
      <c r="A23" s="196" t="n">
        <v>17</v>
      </c>
      <c r="B23" s="197" t="inlineStr">
        <is>
          <t>Support Training</t>
        </is>
      </c>
      <c r="C23" s="197" t="inlineStr">
        <is>
          <t>Review on Pick &amp; Speak</t>
        </is>
      </c>
      <c r="D23" s="197" t="inlineStr">
        <is>
          <t>2026-05-07</t>
        </is>
      </c>
      <c r="E23" s="197" t="inlineStr">
        <is>
          <t>—</t>
        </is>
      </c>
      <c r="F23" s="197" t="inlineStr">
        <is>
          <t>Freeda Reshma Dsouza</t>
        </is>
      </c>
      <c r="G23" s="197" t="inlineStr">
        <is>
          <t>Online</t>
        </is>
      </c>
      <c r="H23" s="197" t="inlineStr">
        <is>
          <t>Review on Pick &amp; Speak</t>
        </is>
      </c>
      <c r="I23" s="198" t="n">
        <v>2</v>
      </c>
    </row>
    <row r="24" ht="27.75" customHeight="1" s="156">
      <c r="A24" s="196" t="n">
        <v>18</v>
      </c>
      <c r="B24" s="197" t="inlineStr">
        <is>
          <t>Support Training</t>
        </is>
      </c>
      <c r="C24" s="197" t="inlineStr">
        <is>
          <t>Session on Unsolicited SMS and Tips</t>
        </is>
      </c>
      <c r="D24" s="197" t="inlineStr">
        <is>
          <t>2026-05-27</t>
        </is>
      </c>
      <c r="E24" s="197" t="inlineStr">
        <is>
          <t>—</t>
        </is>
      </c>
      <c r="F24" s="197" t="inlineStr">
        <is>
          <t>Girish A</t>
        </is>
      </c>
      <c r="G24" s="197" t="inlineStr">
        <is>
          <t>Online</t>
        </is>
      </c>
      <c r="H24" s="197" t="inlineStr">
        <is>
          <t>Session on Unsolicited SMS and Tips</t>
        </is>
      </c>
      <c r="I24" s="198" t="n">
        <v>0.5</v>
      </c>
    </row>
    <row r="25" ht="27.75" customHeight="1" s="156">
      <c r="A25" s="196" t="n">
        <v>19</v>
      </c>
      <c r="B25" s="197" t="inlineStr">
        <is>
          <t>Support Training</t>
        </is>
      </c>
      <c r="C25" s="197" t="inlineStr">
        <is>
          <t>Session on Primary and Secondary transfer of securities and SOPs of Abusive calls</t>
        </is>
      </c>
      <c r="D25" s="197" t="inlineStr">
        <is>
          <t>2026-05-20</t>
        </is>
      </c>
      <c r="E25" s="197" t="inlineStr">
        <is>
          <t>—</t>
        </is>
      </c>
      <c r="F25" s="197" t="inlineStr">
        <is>
          <t>Harish Bhat</t>
        </is>
      </c>
      <c r="G25" s="197" t="inlineStr">
        <is>
          <t>Online</t>
        </is>
      </c>
      <c r="H25" s="197" t="inlineStr">
        <is>
          <t>Session on Primary and Secondary transfer of securities and SOPs of Abusive calls</t>
        </is>
      </c>
      <c r="I25" s="198" t="n">
        <v>1</v>
      </c>
    </row>
    <row r="26" ht="27.75" customHeight="1" s="156">
      <c r="A26" s="196" t="n">
        <v>20</v>
      </c>
      <c r="B26" s="197" t="inlineStr">
        <is>
          <t>Support Training</t>
        </is>
      </c>
      <c r="C26" s="197" t="inlineStr">
        <is>
          <t>Session on Primary and Secondary transfer of securities and SOPs of Abusive calls</t>
        </is>
      </c>
      <c r="D26" s="197" t="inlineStr">
        <is>
          <t>2026-05-25</t>
        </is>
      </c>
      <c r="E26" s="197" t="inlineStr">
        <is>
          <t>—</t>
        </is>
      </c>
      <c r="F26" s="197" t="inlineStr">
        <is>
          <t>Girish A</t>
        </is>
      </c>
      <c r="G26" s="197" t="inlineStr">
        <is>
          <t>Online</t>
        </is>
      </c>
      <c r="H26" s="197" t="inlineStr">
        <is>
          <t>Session on Primary and Secondary transfer of securities and SOPs of Abusive calls</t>
        </is>
      </c>
      <c r="I26" s="198" t="n">
        <v>1</v>
      </c>
    </row>
    <row r="27" ht="27.75" customHeight="1" s="156">
      <c r="A27" s="196" t="n">
        <v>21</v>
      </c>
      <c r="B27" s="197" t="inlineStr">
        <is>
          <t>Support Training</t>
        </is>
      </c>
      <c r="C27" s="197" t="inlineStr">
        <is>
          <t>Session on Unsolicited SMS and Tips</t>
        </is>
      </c>
      <c r="D27" s="197" t="inlineStr">
        <is>
          <t>2026-05-27</t>
        </is>
      </c>
      <c r="E27" s="197" t="inlineStr">
        <is>
          <t>—</t>
        </is>
      </c>
      <c r="F27" s="197" t="inlineStr">
        <is>
          <t>Girish A</t>
        </is>
      </c>
      <c r="G27" s="197" t="inlineStr">
        <is>
          <t>Online</t>
        </is>
      </c>
      <c r="H27" s="197" t="inlineStr">
        <is>
          <t>Session on Unsolicited SMS and Tips</t>
        </is>
      </c>
      <c r="I27" s="198" t="n">
        <v>1</v>
      </c>
    </row>
    <row r="28" ht="27.75" customHeight="1" s="156">
      <c r="A28" s="196" t="n">
        <v>22</v>
      </c>
      <c r="B28" s="197" t="inlineStr">
        <is>
          <t>Assessment</t>
        </is>
      </c>
      <c r="C28" s="197" t="inlineStr">
        <is>
          <t>Reviweing the Mock call and Pick &amp; Speak Assessments</t>
        </is>
      </c>
      <c r="D28" s="197" t="inlineStr">
        <is>
          <t>2026-05-18</t>
        </is>
      </c>
      <c r="E28" s="197" t="inlineStr">
        <is>
          <t>—</t>
        </is>
      </c>
      <c r="F28" s="197" t="inlineStr">
        <is>
          <t>Harish Bhat</t>
        </is>
      </c>
      <c r="G28" s="197" t="inlineStr">
        <is>
          <t>Online</t>
        </is>
      </c>
      <c r="H28" s="197" t="inlineStr">
        <is>
          <t>Reviweing the Mock call and Pick &amp; Speak Assessments</t>
        </is>
      </c>
      <c r="I28" s="198" t="n">
        <v>2.5</v>
      </c>
    </row>
    <row r="29" ht="15.75" customHeight="1" s="156">
      <c r="A29" s="199" t="n">
        <v>23</v>
      </c>
      <c r="B29" s="200" t="inlineStr">
        <is>
          <t>Other</t>
        </is>
      </c>
      <c r="C29" s="200" t="inlineStr">
        <is>
          <t>Varsity shoot</t>
        </is>
      </c>
      <c r="D29" s="200" t="inlineStr">
        <is>
          <t>2026-05-22</t>
        </is>
      </c>
      <c r="E29" s="200" t="inlineStr">
        <is>
          <t>—</t>
        </is>
      </c>
      <c r="F29" s="200" t="inlineStr">
        <is>
          <t>Harish Bhat</t>
        </is>
      </c>
      <c r="G29" s="200" t="inlineStr">
        <is>
          <t>Offline</t>
        </is>
      </c>
      <c r="H29" s="200" t="inlineStr">
        <is>
          <t>Varsity shoot</t>
        </is>
      </c>
      <c r="I29" s="201" t="n">
        <v>1</v>
      </c>
    </row>
    <row r="30" ht="15.75" customHeight="1" s="156">
      <c r="A30" s="196" t="n">
        <v>24</v>
      </c>
      <c r="B30" s="197" t="inlineStr">
        <is>
          <t>Support Training</t>
        </is>
      </c>
      <c r="C30" s="197" t="inlineStr">
        <is>
          <t>Session on Primary and Secondary transfer of securities and SOPs of Abusive calls</t>
        </is>
      </c>
      <c r="D30" s="197" t="inlineStr">
        <is>
          <t>2026-05-22</t>
        </is>
      </c>
      <c r="E30" s="197" t="inlineStr">
        <is>
          <t>—</t>
        </is>
      </c>
      <c r="F30" s="197" t="inlineStr">
        <is>
          <t>Harish Bhat</t>
        </is>
      </c>
      <c r="G30" s="197" t="inlineStr">
        <is>
          <t>Online</t>
        </is>
      </c>
      <c r="H30" s="197" t="inlineStr">
        <is>
          <t>Session on Primary and Secondary transfer of securities and SOPs of Abusive calls</t>
        </is>
      </c>
      <c r="I30" s="198" t="n">
        <v>1</v>
      </c>
    </row>
    <row r="31" ht="15.75" customHeight="1" s="156">
      <c r="A31" s="196" t="n">
        <v>25</v>
      </c>
      <c r="B31" s="197" t="inlineStr">
        <is>
          <t>Other</t>
        </is>
      </c>
      <c r="C31" s="197" t="inlineStr">
        <is>
          <t>Preperation for Session on Primary and Secondary transfer of securities and SOPs of Abusive calls</t>
        </is>
      </c>
      <c r="D31" s="197" t="inlineStr">
        <is>
          <t>2026-05-19</t>
        </is>
      </c>
      <c r="E31" s="197" t="inlineStr">
        <is>
          <t>—</t>
        </is>
      </c>
      <c r="F31" s="197" t="inlineStr">
        <is>
          <t>Harish Bhat</t>
        </is>
      </c>
      <c r="G31" s="197" t="inlineStr">
        <is>
          <t>Online</t>
        </is>
      </c>
      <c r="H31" s="197" t="inlineStr">
        <is>
          <t>Preperation for Session on Primary and Secondary transfer of securities and SOPs of Abusive calls</t>
        </is>
      </c>
      <c r="I31" s="198" t="n">
        <v>6</v>
      </c>
    </row>
    <row r="32" ht="15.75" customHeight="1" s="156">
      <c r="A32" s="196" t="n">
        <v>26</v>
      </c>
      <c r="B32" s="197" t="inlineStr">
        <is>
          <t>Other</t>
        </is>
      </c>
      <c r="C32" s="197" t="inlineStr">
        <is>
          <t>Varsity script work</t>
        </is>
      </c>
      <c r="D32" s="197" t="inlineStr">
        <is>
          <t>2026-05-13</t>
        </is>
      </c>
      <c r="E32" s="197" t="inlineStr">
        <is>
          <t>—</t>
        </is>
      </c>
      <c r="F32" s="197" t="inlineStr">
        <is>
          <t>Harish Bhat</t>
        </is>
      </c>
      <c r="G32" s="197" t="inlineStr">
        <is>
          <t>Online</t>
        </is>
      </c>
      <c r="H32" s="197" t="inlineStr">
        <is>
          <t>Varsity script work</t>
        </is>
      </c>
      <c r="I32" s="198" t="n">
        <v>2</v>
      </c>
    </row>
    <row r="33" ht="15.75" customHeight="1" s="156">
      <c r="A33" s="196" t="n">
        <v>27</v>
      </c>
      <c r="B33" s="197" t="inlineStr">
        <is>
          <t>Other</t>
        </is>
      </c>
      <c r="C33" s="197" t="inlineStr">
        <is>
          <t>Varsity script work</t>
        </is>
      </c>
      <c r="D33" s="197" t="inlineStr">
        <is>
          <t>2026-05-11</t>
        </is>
      </c>
      <c r="E33" s="197" t="inlineStr">
        <is>
          <t>—</t>
        </is>
      </c>
      <c r="F33" s="197" t="inlineStr">
        <is>
          <t>Harish Bhat</t>
        </is>
      </c>
      <c r="G33" s="197" t="inlineStr">
        <is>
          <t>Online</t>
        </is>
      </c>
      <c r="H33" s="197" t="inlineStr">
        <is>
          <t>Varsity script work</t>
        </is>
      </c>
      <c r="I33" s="198" t="n">
        <v>2</v>
      </c>
    </row>
    <row r="34" ht="15.75" customHeight="1" s="156">
      <c r="A34" s="199" t="n">
        <v>28</v>
      </c>
      <c r="B34" s="200" t="inlineStr">
        <is>
          <t>Assessment</t>
        </is>
      </c>
      <c r="C34" s="200" t="inlineStr">
        <is>
          <t>Communicate 360- Anish's team · proctoring</t>
        </is>
      </c>
      <c r="D34" s="200" t="inlineStr">
        <is>
          <t>2026-05-11</t>
        </is>
      </c>
      <c r="E34" s="200" t="inlineStr">
        <is>
          <t>—</t>
        </is>
      </c>
      <c r="F34" s="200" t="inlineStr">
        <is>
          <t>Harish Bhat</t>
        </is>
      </c>
      <c r="G34" s="200" t="inlineStr">
        <is>
          <t>Offline</t>
        </is>
      </c>
      <c r="H34" s="200" t="inlineStr">
        <is>
          <t>Communicate 360- Anish's team · proctoring</t>
        </is>
      </c>
      <c r="I34" s="201" t="n">
        <v>2</v>
      </c>
    </row>
    <row r="35" ht="15.75" customHeight="1" s="156">
      <c r="A35" s="199" t="n">
        <v>29</v>
      </c>
      <c r="B35" s="200" t="inlineStr">
        <is>
          <t>Assessment</t>
        </is>
      </c>
      <c r="C35" s="200" t="inlineStr">
        <is>
          <t>Communicate 360- Anish's team · proctoring</t>
        </is>
      </c>
      <c r="D35" s="200" t="inlineStr">
        <is>
          <t>2026-05-12</t>
        </is>
      </c>
      <c r="E35" s="200" t="inlineStr">
        <is>
          <t>—</t>
        </is>
      </c>
      <c r="F35" s="200" t="inlineStr">
        <is>
          <t>Harish Bhat</t>
        </is>
      </c>
      <c r="G35" s="200" t="inlineStr">
        <is>
          <t>Offline</t>
        </is>
      </c>
      <c r="H35" s="200" t="inlineStr">
        <is>
          <t>Communicate 360- Anish's team · proctoring</t>
        </is>
      </c>
      <c r="I35" s="201" t="n">
        <v>1</v>
      </c>
    </row>
    <row r="36" ht="15.75" customHeight="1" s="156">
      <c r="A36" s="199" t="n">
        <v>30</v>
      </c>
      <c r="B36" s="200" t="inlineStr">
        <is>
          <t>Support Training</t>
        </is>
      </c>
      <c r="C36" s="200" t="inlineStr">
        <is>
          <t>Communicate 360- Anish's team · proctoring  &amp; mockcall</t>
        </is>
      </c>
      <c r="D36" s="200" t="inlineStr">
        <is>
          <t>2026-05-14</t>
        </is>
      </c>
      <c r="E36" s="200" t="inlineStr">
        <is>
          <t>—</t>
        </is>
      </c>
      <c r="F36" s="200" t="inlineStr">
        <is>
          <t>Harish Bhat</t>
        </is>
      </c>
      <c r="G36" s="200" t="inlineStr">
        <is>
          <t>Offline</t>
        </is>
      </c>
      <c r="H36" s="200" t="inlineStr">
        <is>
          <t>Communicate 360- Anish's team · proctoring  &amp; mockcall</t>
        </is>
      </c>
      <c r="I36" s="201" t="n">
        <v>4</v>
      </c>
    </row>
    <row r="37" ht="15.75" customHeight="1" s="156">
      <c r="A37" s="199" t="n">
        <v>31</v>
      </c>
      <c r="B37" s="200" t="inlineStr">
        <is>
          <t>Other</t>
        </is>
      </c>
      <c r="C37" s="200" t="inlineStr">
        <is>
          <t>QOD Preperation</t>
        </is>
      </c>
      <c r="D37" s="200" t="inlineStr">
        <is>
          <t>2026-05-27</t>
        </is>
      </c>
      <c r="E37" s="200" t="inlineStr">
        <is>
          <t>—</t>
        </is>
      </c>
      <c r="F37" s="200" t="inlineStr">
        <is>
          <t>Harish Bhat</t>
        </is>
      </c>
      <c r="G37" s="200" t="inlineStr">
        <is>
          <t>Offline</t>
        </is>
      </c>
      <c r="H37" s="200" t="inlineStr">
        <is>
          <t>QOD Preperation</t>
        </is>
      </c>
      <c r="I37" s="201" t="n">
        <v>0.5</v>
      </c>
    </row>
    <row r="38" ht="15.75" customHeight="1" s="156">
      <c r="A38" s="196" t="n">
        <v>32</v>
      </c>
      <c r="B38" s="197" t="inlineStr">
        <is>
          <t>Other</t>
        </is>
      </c>
      <c r="C38" s="197" t="inlineStr">
        <is>
          <t>varsity tickets</t>
        </is>
      </c>
      <c r="D38" s="197" t="inlineStr">
        <is>
          <t>2026-05-04</t>
        </is>
      </c>
      <c r="E38" s="197" t="inlineStr">
        <is>
          <t>—</t>
        </is>
      </c>
      <c r="F38" s="197" t="inlineStr">
        <is>
          <t>Harish Bhat</t>
        </is>
      </c>
      <c r="G38" s="197" t="inlineStr">
        <is>
          <t>Online</t>
        </is>
      </c>
      <c r="H38" s="197" t="inlineStr">
        <is>
          <t>varsity tickets</t>
        </is>
      </c>
      <c r="I38" s="198" t="n">
        <v>0.25</v>
      </c>
    </row>
    <row r="39" ht="15.75" customHeight="1" s="156">
      <c r="A39" s="196" t="n">
        <v>33</v>
      </c>
      <c r="B39" s="197" t="inlineStr">
        <is>
          <t>Other</t>
        </is>
      </c>
      <c r="C39" s="197" t="inlineStr">
        <is>
          <t>varsity tickets</t>
        </is>
      </c>
      <c r="D39" s="197" t="inlineStr">
        <is>
          <t>2026-05-05</t>
        </is>
      </c>
      <c r="E39" s="197" t="inlineStr">
        <is>
          <t>—</t>
        </is>
      </c>
      <c r="F39" s="197" t="inlineStr">
        <is>
          <t>Harish Bhat</t>
        </is>
      </c>
      <c r="G39" s="197" t="inlineStr">
        <is>
          <t>Online</t>
        </is>
      </c>
      <c r="H39" s="197" t="inlineStr">
        <is>
          <t>varsity tickets</t>
        </is>
      </c>
      <c r="I39" s="198" t="n">
        <v>0.25</v>
      </c>
    </row>
    <row r="40" ht="15.75" customHeight="1" s="156">
      <c r="A40" s="196" t="n">
        <v>34</v>
      </c>
      <c r="B40" s="197" t="inlineStr">
        <is>
          <t>Other</t>
        </is>
      </c>
      <c r="C40" s="197" t="inlineStr">
        <is>
          <t>varsity tickets</t>
        </is>
      </c>
      <c r="D40" s="197" t="inlineStr">
        <is>
          <t>2026-05-06</t>
        </is>
      </c>
      <c r="E40" s="197" t="inlineStr">
        <is>
          <t>—</t>
        </is>
      </c>
      <c r="F40" s="197" t="inlineStr">
        <is>
          <t>Harish Bhat</t>
        </is>
      </c>
      <c r="G40" s="197" t="inlineStr">
        <is>
          <t>Online</t>
        </is>
      </c>
      <c r="H40" s="197" t="inlineStr">
        <is>
          <t>varsity tickets</t>
        </is>
      </c>
      <c r="I40" s="198" t="n">
        <v>0.25</v>
      </c>
    </row>
    <row r="41" ht="15.75" customHeight="1" s="156">
      <c r="A41" s="199" t="n">
        <v>35</v>
      </c>
      <c r="B41" s="200" t="inlineStr">
        <is>
          <t>Support Training</t>
        </is>
      </c>
      <c r="C41" s="200" t="inlineStr">
        <is>
          <t>Communicate 360- Anish's team · proctoring</t>
        </is>
      </c>
      <c r="D41" s="200" t="inlineStr">
        <is>
          <t>2026-05-04</t>
        </is>
      </c>
      <c r="E41" s="200" t="inlineStr">
        <is>
          <t>—</t>
        </is>
      </c>
      <c r="F41" s="200" t="inlineStr">
        <is>
          <t>Harish Bhat</t>
        </is>
      </c>
      <c r="G41" s="200" t="inlineStr">
        <is>
          <t>Offline</t>
        </is>
      </c>
      <c r="H41" s="200" t="inlineStr">
        <is>
          <t>Communicate 360- Anish's team · proctoring</t>
        </is>
      </c>
      <c r="I41" s="201" t="n">
        <v>3</v>
      </c>
    </row>
    <row r="42" ht="15.75" customHeight="1" s="156">
      <c r="A42" s="199" t="n">
        <v>36</v>
      </c>
      <c r="B42" s="200" t="inlineStr">
        <is>
          <t>Support Training</t>
        </is>
      </c>
      <c r="C42" s="200" t="inlineStr">
        <is>
          <t>Communicate 360- Anish's team</t>
        </is>
      </c>
      <c r="D42" s="200" t="inlineStr">
        <is>
          <t>2026-05-05</t>
        </is>
      </c>
      <c r="E42" s="200" t="inlineStr">
        <is>
          <t>—</t>
        </is>
      </c>
      <c r="F42" s="200" t="inlineStr">
        <is>
          <t>Harish Bhat</t>
        </is>
      </c>
      <c r="G42" s="200" t="inlineStr">
        <is>
          <t>Offline</t>
        </is>
      </c>
      <c r="H42" s="200" t="inlineStr">
        <is>
          <t>Communicate 360- Anish's team</t>
        </is>
      </c>
      <c r="I42" s="201" t="n">
        <v>3</v>
      </c>
    </row>
    <row r="43" ht="15.75" customHeight="1" s="156">
      <c r="A43" s="199" t="n">
        <v>37</v>
      </c>
      <c r="B43" s="200" t="inlineStr">
        <is>
          <t>Support Training</t>
        </is>
      </c>
      <c r="C43" s="200" t="inlineStr">
        <is>
          <t>Communicate 360- Anish's team proctoring</t>
        </is>
      </c>
      <c r="D43" s="200" t="inlineStr">
        <is>
          <t>2026-05-06</t>
        </is>
      </c>
      <c r="E43" s="200" t="inlineStr">
        <is>
          <t>—</t>
        </is>
      </c>
      <c r="F43" s="200" t="inlineStr">
        <is>
          <t>Harish Bhat</t>
        </is>
      </c>
      <c r="G43" s="200" t="inlineStr">
        <is>
          <t>Offline</t>
        </is>
      </c>
      <c r="H43" s="200" t="inlineStr">
        <is>
          <t>Communicate 360- Anish's team proctoring</t>
        </is>
      </c>
      <c r="I43" s="201" t="n">
        <v>2</v>
      </c>
    </row>
    <row r="44" ht="15.75" customHeight="1" s="156">
      <c r="A44" s="196" t="n">
        <v>38</v>
      </c>
      <c r="B44" s="197" t="inlineStr">
        <is>
          <t>Assessment</t>
        </is>
      </c>
      <c r="C44" s="197" t="inlineStr">
        <is>
          <t>Review on Pick &amp; Speak &amp; mockcall</t>
        </is>
      </c>
      <c r="D44" s="197" t="inlineStr">
        <is>
          <t>2026-05-08</t>
        </is>
      </c>
      <c r="E44" s="197" t="inlineStr">
        <is>
          <t>—</t>
        </is>
      </c>
      <c r="F44" s="197" t="inlineStr">
        <is>
          <t>Harish Bhat</t>
        </is>
      </c>
      <c r="G44" s="197" t="inlineStr">
        <is>
          <t>Online</t>
        </is>
      </c>
      <c r="H44" s="197" t="inlineStr">
        <is>
          <t>Review on Pick &amp; Speak &amp; mockcall</t>
        </is>
      </c>
      <c r="I44" s="198" t="n">
        <v>4</v>
      </c>
    </row>
    <row r="45" ht="15.75" customHeight="1" s="156">
      <c r="A45" s="199" t="n">
        <v>39</v>
      </c>
      <c r="B45" s="200" t="inlineStr">
        <is>
          <t>Assessment</t>
        </is>
      </c>
      <c r="C45" s="200" t="inlineStr">
        <is>
          <t>Communicate 360- Anish's team · proctoring</t>
        </is>
      </c>
      <c r="D45" s="200" t="inlineStr">
        <is>
          <t>2026-05-11</t>
        </is>
      </c>
      <c r="E45" s="200" t="inlineStr">
        <is>
          <t>—</t>
        </is>
      </c>
      <c r="F45" s="200" t="inlineStr">
        <is>
          <t>Harish Bhat</t>
        </is>
      </c>
      <c r="G45" s="200" t="inlineStr">
        <is>
          <t>Offline</t>
        </is>
      </c>
      <c r="H45" s="200" t="inlineStr">
        <is>
          <t>Communicate 360- Anish's team · proctoring</t>
        </is>
      </c>
      <c r="I45" s="201" t="n">
        <v>3</v>
      </c>
    </row>
    <row r="46" ht="15.75" customHeight="1" s="156">
      <c r="A46" s="199" t="n">
        <v>40</v>
      </c>
      <c r="B46" s="200" t="inlineStr">
        <is>
          <t>Assessment</t>
        </is>
      </c>
      <c r="C46" s="200" t="inlineStr">
        <is>
          <t>Communicate 360- Anish's team · proctoring</t>
        </is>
      </c>
      <c r="D46" s="200" t="inlineStr">
        <is>
          <t>2026-05-12</t>
        </is>
      </c>
      <c r="E46" s="200" t="inlineStr">
        <is>
          <t>—</t>
        </is>
      </c>
      <c r="F46" s="200" t="inlineStr">
        <is>
          <t>Harish Bhat</t>
        </is>
      </c>
      <c r="G46" s="200" t="inlineStr">
        <is>
          <t>Offline</t>
        </is>
      </c>
      <c r="H46" s="200" t="inlineStr">
        <is>
          <t>Communicate 360- Anish's team · proctoring</t>
        </is>
      </c>
      <c r="I46" s="201" t="n">
        <v>1.5</v>
      </c>
    </row>
    <row r="47" ht="15.75" customHeight="1" s="156">
      <c r="A47" s="199" t="n">
        <v>41</v>
      </c>
      <c r="B47" s="200" t="inlineStr">
        <is>
          <t>Assessment</t>
        </is>
      </c>
      <c r="C47" s="200" t="inlineStr">
        <is>
          <t>Communicate 360- Anish's team · proctoring</t>
        </is>
      </c>
      <c r="D47" s="200" t="inlineStr">
        <is>
          <t>2026-05-13</t>
        </is>
      </c>
      <c r="E47" s="200" t="inlineStr">
        <is>
          <t>—</t>
        </is>
      </c>
      <c r="F47" s="200" t="inlineStr">
        <is>
          <t>Harish Bhat</t>
        </is>
      </c>
      <c r="G47" s="200" t="inlineStr">
        <is>
          <t>Offline</t>
        </is>
      </c>
      <c r="H47" s="200" t="inlineStr">
        <is>
          <t>Communicate 360- Anish's team · proctoring</t>
        </is>
      </c>
      <c r="I47" s="201" t="n">
        <v>3</v>
      </c>
    </row>
    <row r="48" ht="15.75" customHeight="1" s="156">
      <c r="A48" s="199" t="n">
        <v>42</v>
      </c>
      <c r="B48" s="200" t="inlineStr">
        <is>
          <t>Assessment</t>
        </is>
      </c>
      <c r="C48" s="200" t="inlineStr">
        <is>
          <t>Communicate 360- Anish's team · proctoring</t>
        </is>
      </c>
      <c r="D48" s="200" t="inlineStr">
        <is>
          <t>2026-05-14</t>
        </is>
      </c>
      <c r="E48" s="200" t="inlineStr">
        <is>
          <t>—</t>
        </is>
      </c>
      <c r="F48" s="200" t="inlineStr">
        <is>
          <t>Harish Bhat</t>
        </is>
      </c>
      <c r="G48" s="200" t="inlineStr">
        <is>
          <t>Offline</t>
        </is>
      </c>
      <c r="H48" s="200" t="inlineStr">
        <is>
          <t>Communicate 360- Anish's team · proctoring</t>
        </is>
      </c>
      <c r="I48" s="201" t="n">
        <v>3</v>
      </c>
    </row>
    <row r="49" ht="15.75" customHeight="1" s="156">
      <c r="A49" s="196" t="n">
        <v>43</v>
      </c>
      <c r="B49" s="197" t="inlineStr">
        <is>
          <t>Other</t>
        </is>
      </c>
      <c r="C49" s="197" t="inlineStr">
        <is>
          <t>varsity tickets</t>
        </is>
      </c>
      <c r="D49" s="197" t="inlineStr">
        <is>
          <t>2026-05-07</t>
        </is>
      </c>
      <c r="E49" s="197" t="inlineStr">
        <is>
          <t>—</t>
        </is>
      </c>
      <c r="F49" s="197" t="inlineStr">
        <is>
          <t>Harish Bhat</t>
        </is>
      </c>
      <c r="G49" s="197" t="inlineStr">
        <is>
          <t>Online</t>
        </is>
      </c>
      <c r="H49" s="197" t="inlineStr">
        <is>
          <t>varsity tickets</t>
        </is>
      </c>
      <c r="I49" s="198" t="n">
        <v>0.25</v>
      </c>
    </row>
    <row r="50" ht="15.75" customHeight="1" s="156">
      <c r="A50" s="196" t="n">
        <v>44</v>
      </c>
      <c r="B50" s="197" t="inlineStr">
        <is>
          <t>Other</t>
        </is>
      </c>
      <c r="C50" s="197" t="inlineStr">
        <is>
          <t>varsity tickets</t>
        </is>
      </c>
      <c r="D50" s="197" t="inlineStr">
        <is>
          <t>2026-05-08</t>
        </is>
      </c>
      <c r="E50" s="197" t="inlineStr">
        <is>
          <t>—</t>
        </is>
      </c>
      <c r="F50" s="197" t="inlineStr">
        <is>
          <t>Harish Bhat</t>
        </is>
      </c>
      <c r="G50" s="197" t="inlineStr">
        <is>
          <t>Online</t>
        </is>
      </c>
      <c r="H50" s="197" t="inlineStr">
        <is>
          <t>varsity tickets</t>
        </is>
      </c>
      <c r="I50" s="198" t="n">
        <v>0.25</v>
      </c>
    </row>
    <row r="51" ht="15.75" customHeight="1" s="156">
      <c r="A51" s="196" t="n">
        <v>45</v>
      </c>
      <c r="B51" s="197" t="inlineStr">
        <is>
          <t>Other</t>
        </is>
      </c>
      <c r="C51" s="197" t="inlineStr">
        <is>
          <t>varsity tickets</t>
        </is>
      </c>
      <c r="D51" s="197" t="inlineStr">
        <is>
          <t>2026-05-11</t>
        </is>
      </c>
      <c r="E51" s="197" t="inlineStr">
        <is>
          <t>—</t>
        </is>
      </c>
      <c r="F51" s="197" t="inlineStr">
        <is>
          <t>Harish Bhat</t>
        </is>
      </c>
      <c r="G51" s="197" t="inlineStr">
        <is>
          <t>Online</t>
        </is>
      </c>
      <c r="H51" s="197" t="inlineStr">
        <is>
          <t>varsity tickets</t>
        </is>
      </c>
      <c r="I51" s="198" t="n">
        <v>0.25</v>
      </c>
    </row>
    <row r="52" ht="15.75" customHeight="1" s="156">
      <c r="A52" s="196" t="n">
        <v>46</v>
      </c>
      <c r="B52" s="197" t="inlineStr">
        <is>
          <t>Other</t>
        </is>
      </c>
      <c r="C52" s="197" t="inlineStr">
        <is>
          <t>varsity tickets</t>
        </is>
      </c>
      <c r="D52" s="197" t="inlineStr">
        <is>
          <t>2026-05-12</t>
        </is>
      </c>
      <c r="E52" s="197" t="inlineStr">
        <is>
          <t>—</t>
        </is>
      </c>
      <c r="F52" s="197" t="inlineStr">
        <is>
          <t>Harish Bhat</t>
        </is>
      </c>
      <c r="G52" s="197" t="inlineStr">
        <is>
          <t>Online</t>
        </is>
      </c>
      <c r="H52" s="197" t="inlineStr">
        <is>
          <t>varsity tickets</t>
        </is>
      </c>
      <c r="I52" s="198" t="n">
        <v>0.25</v>
      </c>
    </row>
    <row r="53" ht="15.75" customHeight="1" s="156">
      <c r="A53" s="196" t="n">
        <v>47</v>
      </c>
      <c r="B53" s="197" t="inlineStr">
        <is>
          <t>Other</t>
        </is>
      </c>
      <c r="C53" s="197" t="inlineStr">
        <is>
          <t>varsity tickets</t>
        </is>
      </c>
      <c r="D53" s="197" t="inlineStr">
        <is>
          <t>2026-05-13</t>
        </is>
      </c>
      <c r="E53" s="197" t="inlineStr">
        <is>
          <t>—</t>
        </is>
      </c>
      <c r="F53" s="197" t="inlineStr">
        <is>
          <t>Harish Bhat</t>
        </is>
      </c>
      <c r="G53" s="197" t="inlineStr">
        <is>
          <t>Online</t>
        </is>
      </c>
      <c r="H53" s="197" t="inlineStr">
        <is>
          <t>varsity tickets</t>
        </is>
      </c>
      <c r="I53" s="198" t="n">
        <v>0.25</v>
      </c>
    </row>
    <row r="54" ht="15.75" customHeight="1" s="156">
      <c r="A54" s="196" t="n">
        <v>48</v>
      </c>
      <c r="B54" s="197" t="inlineStr">
        <is>
          <t>Other</t>
        </is>
      </c>
      <c r="C54" s="197" t="inlineStr">
        <is>
          <t>varsity tickets</t>
        </is>
      </c>
      <c r="D54" s="197" t="inlineStr">
        <is>
          <t>2026-05-14</t>
        </is>
      </c>
      <c r="E54" s="197" t="inlineStr">
        <is>
          <t>—</t>
        </is>
      </c>
      <c r="F54" s="197" t="inlineStr">
        <is>
          <t>Harish Bhat</t>
        </is>
      </c>
      <c r="G54" s="197" t="inlineStr">
        <is>
          <t>Online</t>
        </is>
      </c>
      <c r="H54" s="197" t="inlineStr">
        <is>
          <t>varsity tickets</t>
        </is>
      </c>
      <c r="I54" s="198" t="n">
        <v>0.25</v>
      </c>
    </row>
    <row r="55" ht="15.75" customHeight="1" s="156">
      <c r="A55" s="196" t="n">
        <v>49</v>
      </c>
      <c r="B55" s="197" t="inlineStr">
        <is>
          <t>Support Training</t>
        </is>
      </c>
      <c r="C55" s="197" t="inlineStr">
        <is>
          <t>varsity tickets</t>
        </is>
      </c>
      <c r="D55" s="197" t="inlineStr">
        <is>
          <t>2026-05-15</t>
        </is>
      </c>
      <c r="E55" s="197" t="inlineStr">
        <is>
          <t>—</t>
        </is>
      </c>
      <c r="F55" s="197" t="inlineStr">
        <is>
          <t>Harish Bhat</t>
        </is>
      </c>
      <c r="G55" s="197" t="inlineStr">
        <is>
          <t>Online</t>
        </is>
      </c>
      <c r="H55" s="197" t="inlineStr">
        <is>
          <t>varsity tickets</t>
        </is>
      </c>
      <c r="I55" s="198" t="n">
        <v>0.25</v>
      </c>
    </row>
    <row r="56" ht="15.75" customHeight="1" s="156">
      <c r="A56" s="199" t="n">
        <v>50</v>
      </c>
      <c r="B56" s="200" t="inlineStr">
        <is>
          <t>Other</t>
        </is>
      </c>
      <c r="C56" s="200" t="inlineStr">
        <is>
          <t>varsity tickets</t>
        </is>
      </c>
      <c r="D56" s="200" t="inlineStr">
        <is>
          <t>2026-05-18</t>
        </is>
      </c>
      <c r="E56" s="200" t="inlineStr">
        <is>
          <t>—</t>
        </is>
      </c>
      <c r="F56" s="200" t="inlineStr">
        <is>
          <t>Harish Bhat</t>
        </is>
      </c>
      <c r="G56" s="200" t="inlineStr">
        <is>
          <t>Offline</t>
        </is>
      </c>
      <c r="H56" s="200" t="inlineStr">
        <is>
          <t>varsity tickets</t>
        </is>
      </c>
      <c r="I56" s="201" t="n">
        <v>0.25</v>
      </c>
    </row>
    <row r="57" ht="15.75" customHeight="1" s="156">
      <c r="A57" s="196" t="n">
        <v>51</v>
      </c>
      <c r="B57" s="197" t="inlineStr">
        <is>
          <t>Other</t>
        </is>
      </c>
      <c r="C57" s="197" t="inlineStr">
        <is>
          <t>varsity tickets</t>
        </is>
      </c>
      <c r="D57" s="197" t="inlineStr">
        <is>
          <t>2026-05-19</t>
        </is>
      </c>
      <c r="E57" s="197" t="inlineStr">
        <is>
          <t>—</t>
        </is>
      </c>
      <c r="F57" s="197" t="inlineStr">
        <is>
          <t>Harish Bhat</t>
        </is>
      </c>
      <c r="G57" s="197" t="inlineStr">
        <is>
          <t>Online</t>
        </is>
      </c>
      <c r="H57" s="197" t="inlineStr">
        <is>
          <t>varsity tickets</t>
        </is>
      </c>
      <c r="I57" s="198" t="n">
        <v>0.25</v>
      </c>
    </row>
    <row r="58" ht="15.75" customHeight="1" s="156">
      <c r="A58" s="196" t="n">
        <v>52</v>
      </c>
      <c r="B58" s="197" t="inlineStr">
        <is>
          <t>Other</t>
        </is>
      </c>
      <c r="C58" s="197" t="inlineStr">
        <is>
          <t>varsity tickets</t>
        </is>
      </c>
      <c r="D58" s="197" t="inlineStr">
        <is>
          <t>2026-05-20</t>
        </is>
      </c>
      <c r="E58" s="197" t="inlineStr">
        <is>
          <t>—</t>
        </is>
      </c>
      <c r="F58" s="197" t="inlineStr">
        <is>
          <t>Harish Bhat</t>
        </is>
      </c>
      <c r="G58" s="197" t="inlineStr">
        <is>
          <t>Online</t>
        </is>
      </c>
      <c r="H58" s="197" t="inlineStr">
        <is>
          <t>varsity tickets</t>
        </is>
      </c>
      <c r="I58" s="198" t="n">
        <v>0.25</v>
      </c>
    </row>
    <row r="59" ht="15.75" customHeight="1" s="156">
      <c r="A59" s="196" t="n">
        <v>53</v>
      </c>
      <c r="B59" s="197" t="inlineStr">
        <is>
          <t>Other</t>
        </is>
      </c>
      <c r="C59" s="197" t="inlineStr">
        <is>
          <t>varsity tickets</t>
        </is>
      </c>
      <c r="D59" s="197" t="inlineStr">
        <is>
          <t>2026-05-21</t>
        </is>
      </c>
      <c r="E59" s="197" t="inlineStr">
        <is>
          <t>—</t>
        </is>
      </c>
      <c r="F59" s="197" t="inlineStr">
        <is>
          <t>Harish Bhat</t>
        </is>
      </c>
      <c r="G59" s="197" t="inlineStr">
        <is>
          <t>Online</t>
        </is>
      </c>
      <c r="H59" s="197" t="inlineStr">
        <is>
          <t>varsity tickets</t>
        </is>
      </c>
      <c r="I59" s="198" t="n">
        <v>0.25</v>
      </c>
    </row>
    <row r="60" ht="15.75" customHeight="1" s="156">
      <c r="A60" s="196" t="n">
        <v>54</v>
      </c>
      <c r="B60" s="197" t="inlineStr">
        <is>
          <t>Other</t>
        </is>
      </c>
      <c r="C60" s="197" t="inlineStr">
        <is>
          <t>varsity tickets</t>
        </is>
      </c>
      <c r="D60" s="197" t="inlineStr">
        <is>
          <t>2026-05-22</t>
        </is>
      </c>
      <c r="E60" s="197" t="inlineStr">
        <is>
          <t>—</t>
        </is>
      </c>
      <c r="F60" s="197" t="inlineStr">
        <is>
          <t>Harish Bhat</t>
        </is>
      </c>
      <c r="G60" s="197" t="inlineStr">
        <is>
          <t>Online</t>
        </is>
      </c>
      <c r="H60" s="197" t="inlineStr">
        <is>
          <t>varsity tickets</t>
        </is>
      </c>
      <c r="I60" s="198" t="n">
        <v>0.25</v>
      </c>
    </row>
    <row r="61" ht="15.75" customHeight="1" s="156">
      <c r="A61" s="196" t="n">
        <v>55</v>
      </c>
      <c r="B61" s="197" t="inlineStr">
        <is>
          <t>Other</t>
        </is>
      </c>
      <c r="C61" s="197" t="inlineStr">
        <is>
          <t>varsity tickets</t>
        </is>
      </c>
      <c r="D61" s="197" t="inlineStr">
        <is>
          <t>2026-05-27</t>
        </is>
      </c>
      <c r="E61" s="197" t="inlineStr">
        <is>
          <t>—</t>
        </is>
      </c>
      <c r="F61" s="197" t="inlineStr">
        <is>
          <t>Harish Bhat</t>
        </is>
      </c>
      <c r="G61" s="197" t="inlineStr">
        <is>
          <t>Online</t>
        </is>
      </c>
      <c r="H61" s="197" t="inlineStr">
        <is>
          <t>varsity tickets</t>
        </is>
      </c>
      <c r="I61" s="198" t="n">
        <v>0.25</v>
      </c>
    </row>
    <row r="62" ht="15.75" customHeight="1" s="156">
      <c r="A62" s="196" t="n">
        <v>56</v>
      </c>
      <c r="B62" s="197" t="inlineStr">
        <is>
          <t>Assessment</t>
        </is>
      </c>
      <c r="C62" s="197" t="inlineStr">
        <is>
          <t>Review on  mockcall</t>
        </is>
      </c>
      <c r="D62" s="197" t="inlineStr">
        <is>
          <t>2026-05-11</t>
        </is>
      </c>
      <c r="E62" s="197" t="inlineStr">
        <is>
          <t>—</t>
        </is>
      </c>
      <c r="F62" s="197" t="inlineStr">
        <is>
          <t>Harish Bhat</t>
        </is>
      </c>
      <c r="G62" s="197" t="inlineStr">
        <is>
          <t>Online</t>
        </is>
      </c>
      <c r="H62" s="197" t="inlineStr">
        <is>
          <t>Review on  mockcall</t>
        </is>
      </c>
      <c r="I62" s="198" t="n">
        <v>3</v>
      </c>
    </row>
    <row r="63" ht="15.75" customHeight="1" s="156">
      <c r="A63" s="196" t="n">
        <v>57</v>
      </c>
      <c r="B63" s="197" t="inlineStr">
        <is>
          <t>Support Training</t>
        </is>
      </c>
      <c r="C63" s="197" t="inlineStr">
        <is>
          <t>Review on mockcall ·  Harish</t>
        </is>
      </c>
      <c r="D63" s="197" t="inlineStr">
        <is>
          <t>2026-05-14</t>
        </is>
      </c>
      <c r="E63" s="197" t="inlineStr">
        <is>
          <t>—</t>
        </is>
      </c>
      <c r="F63" s="197" t="inlineStr">
        <is>
          <t>Harish Bhat</t>
        </is>
      </c>
      <c r="G63" s="197" t="inlineStr">
        <is>
          <t>Online</t>
        </is>
      </c>
      <c r="H63" s="197" t="inlineStr">
        <is>
          <t>Review on mockcall ·  Harish</t>
        </is>
      </c>
      <c r="I63" s="198" t="n">
        <v>2</v>
      </c>
    </row>
    <row r="64" ht="15.75" customHeight="1" s="156">
      <c r="A64" s="196" t="n">
        <v>58</v>
      </c>
      <c r="B64" s="197" t="inlineStr">
        <is>
          <t>Other</t>
        </is>
      </c>
      <c r="C64" s="197" t="inlineStr">
        <is>
          <t>Preperation for Session on Primary and Secondary transfer of securities and SOPs of Abusive calls</t>
        </is>
      </c>
      <c r="D64" s="197" t="inlineStr">
        <is>
          <t>2026-05-18</t>
        </is>
      </c>
      <c r="E64" s="197" t="inlineStr">
        <is>
          <t>—</t>
        </is>
      </c>
      <c r="F64" s="197" t="inlineStr">
        <is>
          <t>Harish Bhat</t>
        </is>
      </c>
      <c r="G64" s="197" t="inlineStr">
        <is>
          <t>Online</t>
        </is>
      </c>
      <c r="H64" s="197" t="inlineStr">
        <is>
          <t>Preperation for Session on Primary and Secondary transfer of securities and SOPs of Abusive calls</t>
        </is>
      </c>
      <c r="I64" s="198" t="n">
        <v>4</v>
      </c>
    </row>
    <row r="65" ht="15.75" customHeight="1" s="156">
      <c r="A65" s="196" t="n">
        <v>59</v>
      </c>
      <c r="B65" s="197" t="inlineStr">
        <is>
          <t>Other</t>
        </is>
      </c>
      <c r="C65" s="197" t="inlineStr">
        <is>
          <t>lms tool testing</t>
        </is>
      </c>
      <c r="D65" s="197" t="inlineStr">
        <is>
          <t>2026-05-27</t>
        </is>
      </c>
      <c r="E65" s="197" t="inlineStr">
        <is>
          <t>—</t>
        </is>
      </c>
      <c r="F65" s="197" t="inlineStr">
        <is>
          <t>Harish Bhat</t>
        </is>
      </c>
      <c r="G65" s="197" t="inlineStr">
        <is>
          <t>Online</t>
        </is>
      </c>
      <c r="H65" s="197" t="inlineStr">
        <is>
          <t>lms tool testing</t>
        </is>
      </c>
      <c r="I65" s="198" t="n">
        <v>5</v>
      </c>
    </row>
    <row r="66" ht="15.75" customHeight="1" s="156">
      <c r="A66" s="199" t="n">
        <v>60</v>
      </c>
      <c r="B66" s="200" t="inlineStr">
        <is>
          <t>Other</t>
        </is>
      </c>
      <c r="C66" s="200" t="inlineStr">
        <is>
          <t>Managers training discussion &amp; PPT</t>
        </is>
      </c>
      <c r="D66" s="200" t="inlineStr">
        <is>
          <t>2026-05-13</t>
        </is>
      </c>
      <c r="E66" s="200" t="inlineStr">
        <is>
          <t>—</t>
        </is>
      </c>
      <c r="F66" s="200" t="inlineStr">
        <is>
          <t>Harish Bhat</t>
        </is>
      </c>
      <c r="G66" s="200" t="inlineStr">
        <is>
          <t>Offline</t>
        </is>
      </c>
      <c r="H66" s="200" t="inlineStr">
        <is>
          <t>Managers training discussion &amp; PPT</t>
        </is>
      </c>
      <c r="I66" s="201" t="n">
        <v>2</v>
      </c>
    </row>
    <row r="67" ht="15.75" customHeight="1" s="156">
      <c r="A67" s="199" t="n">
        <v>61</v>
      </c>
      <c r="B67" s="200" t="inlineStr">
        <is>
          <t>Other</t>
        </is>
      </c>
      <c r="C67" s="200" t="inlineStr">
        <is>
          <t>Managers training discussion &amp; PPT</t>
        </is>
      </c>
      <c r="D67" s="200" t="inlineStr">
        <is>
          <t>2026-05-12</t>
        </is>
      </c>
      <c r="E67" s="200" t="inlineStr">
        <is>
          <t>—</t>
        </is>
      </c>
      <c r="F67" s="200" t="inlineStr">
        <is>
          <t>Harish Bhat</t>
        </is>
      </c>
      <c r="G67" s="200" t="inlineStr">
        <is>
          <t>Offline</t>
        </is>
      </c>
      <c r="H67" s="200" t="inlineStr">
        <is>
          <t>Managers training discussion &amp; PPT</t>
        </is>
      </c>
      <c r="I67" s="201" t="n">
        <v>3</v>
      </c>
    </row>
    <row r="68" ht="15.75" customHeight="1" s="156">
      <c r="A68" s="199" t="n">
        <v>62</v>
      </c>
      <c r="B68" s="200" t="inlineStr">
        <is>
          <t>Other</t>
        </is>
      </c>
      <c r="C68" s="200" t="inlineStr">
        <is>
          <t>Managers training discussion &amp; PPT  &amp; tool integration</t>
        </is>
      </c>
      <c r="D68" s="200" t="inlineStr">
        <is>
          <t>2026-05-14</t>
        </is>
      </c>
      <c r="E68" s="200" t="inlineStr">
        <is>
          <t>—</t>
        </is>
      </c>
      <c r="F68" s="200" t="inlineStr">
        <is>
          <t>Harish Bhat</t>
        </is>
      </c>
      <c r="G68" s="200" t="inlineStr">
        <is>
          <t>Offline</t>
        </is>
      </c>
      <c r="H68" s="200" t="inlineStr">
        <is>
          <t>Managers training discussion &amp; PPT  &amp; tool integration</t>
        </is>
      </c>
      <c r="I68" s="201" t="n">
        <v>2</v>
      </c>
    </row>
    <row r="69" ht="15.75" customHeight="1" s="156">
      <c r="A69" s="196" t="n">
        <v>63</v>
      </c>
      <c r="B69" s="197" t="inlineStr">
        <is>
          <t>Support Training</t>
        </is>
      </c>
      <c r="C69" s="197" t="inlineStr">
        <is>
          <t>Review on Pick &amp; Speak &amp; mockcall</t>
        </is>
      </c>
      <c r="D69" s="197" t="inlineStr">
        <is>
          <t>2026-05-07</t>
        </is>
      </c>
      <c r="E69" s="197" t="inlineStr">
        <is>
          <t>—</t>
        </is>
      </c>
      <c r="F69" s="197" t="inlineStr">
        <is>
          <t>Girish A</t>
        </is>
      </c>
      <c r="G69" s="197" t="inlineStr">
        <is>
          <t>Online</t>
        </is>
      </c>
      <c r="H69" s="197" t="inlineStr">
        <is>
          <t>Review on Pick &amp; Speak &amp; mockcall</t>
        </is>
      </c>
      <c r="I69" s="198" t="n">
        <v>2</v>
      </c>
    </row>
    <row r="70" ht="15.75" customHeight="1" s="156">
      <c r="A70" s="196" t="n">
        <v>64</v>
      </c>
      <c r="B70" s="197" t="inlineStr">
        <is>
          <t>Support Training</t>
        </is>
      </c>
      <c r="C70" s="197" t="inlineStr">
        <is>
          <t>Review on Pick &amp; Speak &amp; mockcall</t>
        </is>
      </c>
      <c r="D70" s="197" t="inlineStr">
        <is>
          <t>2026-05-08</t>
        </is>
      </c>
      <c r="E70" s="197" t="inlineStr">
        <is>
          <t>—</t>
        </is>
      </c>
      <c r="F70" s="197" t="inlineStr">
        <is>
          <t>Girish A</t>
        </is>
      </c>
      <c r="G70" s="197" t="inlineStr">
        <is>
          <t>Online</t>
        </is>
      </c>
      <c r="H70" s="197" t="inlineStr">
        <is>
          <t>Review on Pick &amp; Speak &amp; mockcall</t>
        </is>
      </c>
      <c r="I70" s="198" t="n">
        <v>2</v>
      </c>
    </row>
    <row r="71" ht="15.75" customHeight="1" s="156">
      <c r="A71" s="196" t="n">
        <v>65</v>
      </c>
      <c r="B71" s="197" t="inlineStr">
        <is>
          <t>Support Training</t>
        </is>
      </c>
      <c r="C71" s="197" t="inlineStr">
        <is>
          <t>Review on Pick &amp; Speak &amp; mockcall</t>
        </is>
      </c>
      <c r="D71" s="197" t="inlineStr">
        <is>
          <t>2026-05-11</t>
        </is>
      </c>
      <c r="E71" s="197" t="inlineStr">
        <is>
          <t>—</t>
        </is>
      </c>
      <c r="F71" s="197" t="inlineStr">
        <is>
          <t>Girish A</t>
        </is>
      </c>
      <c r="G71" s="197" t="inlineStr">
        <is>
          <t>Online</t>
        </is>
      </c>
      <c r="H71" s="197" t="inlineStr">
        <is>
          <t>Review on Pick &amp; Speak &amp; mockcall</t>
        </is>
      </c>
      <c r="I71" s="198" t="n">
        <v>3</v>
      </c>
    </row>
    <row r="72" ht="15.75" customHeight="1" s="156">
      <c r="A72" s="196" t="n">
        <v>66</v>
      </c>
      <c r="B72" s="197" t="inlineStr">
        <is>
          <t>Support Training</t>
        </is>
      </c>
      <c r="C72" s="197" t="inlineStr">
        <is>
          <t>Communicate 360- Anish's team · proctoring</t>
        </is>
      </c>
      <c r="D72" s="197" t="inlineStr">
        <is>
          <t>2026-05-14</t>
        </is>
      </c>
      <c r="E72" s="197" t="inlineStr">
        <is>
          <t>—</t>
        </is>
      </c>
      <c r="F72" s="197" t="inlineStr">
        <is>
          <t>Girish A</t>
        </is>
      </c>
      <c r="G72" s="197" t="inlineStr">
        <is>
          <t>Online</t>
        </is>
      </c>
      <c r="H72" s="197" t="inlineStr">
        <is>
          <t>Communicate 360- Anish's team · proctoring</t>
        </is>
      </c>
      <c r="I72" s="198" t="n">
        <v>3</v>
      </c>
    </row>
    <row r="73" ht="15.75" customHeight="1" s="156">
      <c r="A73" s="196" t="n">
        <v>67</v>
      </c>
      <c r="B73" s="197" t="inlineStr">
        <is>
          <t>Support Training</t>
        </is>
      </c>
      <c r="C73" s="197" t="inlineStr">
        <is>
          <t>Trainer Dashboard</t>
        </is>
      </c>
      <c r="D73" s="197" t="inlineStr">
        <is>
          <t>2026-05-15</t>
        </is>
      </c>
      <c r="E73" s="197" t="inlineStr">
        <is>
          <t>—</t>
        </is>
      </c>
      <c r="F73" s="197" t="inlineStr">
        <is>
          <t>Girish A</t>
        </is>
      </c>
      <c r="G73" s="197" t="inlineStr">
        <is>
          <t>Online</t>
        </is>
      </c>
      <c r="H73" s="197" t="inlineStr">
        <is>
          <t>Trainer Dashboard</t>
        </is>
      </c>
      <c r="I73" s="198" t="n">
        <v>3</v>
      </c>
    </row>
    <row r="74" ht="15.75" customHeight="1" s="156">
      <c r="A74" s="196" t="n">
        <v>68</v>
      </c>
      <c r="B74" s="197" t="inlineStr">
        <is>
          <t>Support Training</t>
        </is>
      </c>
      <c r="C74" s="197" t="inlineStr">
        <is>
          <t>Trainer Dahboard</t>
        </is>
      </c>
      <c r="D74" s="197" t="inlineStr">
        <is>
          <t>2026-05-18</t>
        </is>
      </c>
      <c r="E74" s="197" t="inlineStr">
        <is>
          <t>—</t>
        </is>
      </c>
      <c r="F74" s="197" t="inlineStr">
        <is>
          <t>Girish A</t>
        </is>
      </c>
      <c r="G74" s="197" t="inlineStr">
        <is>
          <t>Online</t>
        </is>
      </c>
      <c r="H74" s="197" t="inlineStr">
        <is>
          <t>Trainer Dahboard</t>
        </is>
      </c>
      <c r="I74" s="198" t="n">
        <v>3</v>
      </c>
    </row>
    <row r="75" ht="15.75" customHeight="1" s="156">
      <c r="A75" s="196" t="n">
        <v>69</v>
      </c>
      <c r="B75" s="197" t="inlineStr">
        <is>
          <t>Support Training</t>
        </is>
      </c>
      <c r="C75" s="197" t="inlineStr">
        <is>
          <t>Session on Primary and Secondary transfer of securities and SOPs of Abusive calls</t>
        </is>
      </c>
      <c r="D75" s="197" t="inlineStr">
        <is>
          <t>2026-05-20</t>
        </is>
      </c>
      <c r="E75" s="197" t="inlineStr">
        <is>
          <t>—</t>
        </is>
      </c>
      <c r="F75" s="197" t="inlineStr">
        <is>
          <t>Girish A</t>
        </is>
      </c>
      <c r="G75" s="197" t="inlineStr">
        <is>
          <t>Online</t>
        </is>
      </c>
      <c r="H75" s="197" t="inlineStr">
        <is>
          <t>Session on Primary and Secondary transfer of securities and SOPs of Abusive calls</t>
        </is>
      </c>
      <c r="I75" s="198" t="n">
        <v>1</v>
      </c>
    </row>
    <row r="76" ht="15.75" customHeight="1" s="156">
      <c r="A76" s="196" t="n">
        <v>70</v>
      </c>
      <c r="B76" s="197" t="inlineStr">
        <is>
          <t>Support Training</t>
        </is>
      </c>
      <c r="C76" s="197" t="inlineStr">
        <is>
          <t>Trainer Dashboard</t>
        </is>
      </c>
      <c r="D76" s="197" t="inlineStr">
        <is>
          <t>2026-05-26</t>
        </is>
      </c>
      <c r="E76" s="197" t="inlineStr">
        <is>
          <t>—</t>
        </is>
      </c>
      <c r="F76" s="197" t="inlineStr">
        <is>
          <t>Girish A</t>
        </is>
      </c>
      <c r="G76" s="197" t="inlineStr">
        <is>
          <t>Online</t>
        </is>
      </c>
      <c r="H76" s="197" t="inlineStr">
        <is>
          <t>Trainer Dashboard</t>
        </is>
      </c>
      <c r="I76" s="198" t="n">
        <v>3</v>
      </c>
    </row>
    <row r="77" ht="15.75" customHeight="1" s="156">
      <c r="A77" s="199" t="n">
        <v>71</v>
      </c>
      <c r="B77" s="200" t="inlineStr">
        <is>
          <t>Support Training</t>
        </is>
      </c>
      <c r="C77" s="200" t="inlineStr">
        <is>
          <t>Communicate 360- Anish's team · proctoring</t>
        </is>
      </c>
      <c r="D77" s="200" t="inlineStr">
        <is>
          <t>2026-05-11</t>
        </is>
      </c>
      <c r="E77" s="200" t="inlineStr">
        <is>
          <t>—</t>
        </is>
      </c>
      <c r="F77" s="200" t="inlineStr">
        <is>
          <t>Girish A</t>
        </is>
      </c>
      <c r="G77" s="200" t="inlineStr">
        <is>
          <t>Offline</t>
        </is>
      </c>
      <c r="H77" s="200" t="inlineStr">
        <is>
          <t>Communicate 360- Anish's team · proctoring</t>
        </is>
      </c>
      <c r="I77" s="201" t="n">
        <v>3</v>
      </c>
    </row>
    <row r="78" ht="15.75" customHeight="1" s="156">
      <c r="A78" s="199" t="n">
        <v>72</v>
      </c>
      <c r="B78" s="200" t="inlineStr">
        <is>
          <t>Support Training</t>
        </is>
      </c>
      <c r="C78" s="200" t="inlineStr">
        <is>
          <t>Communicate 360- Anish's team · proctoring</t>
        </is>
      </c>
      <c r="D78" s="200" t="inlineStr">
        <is>
          <t>2026-05-12</t>
        </is>
      </c>
      <c r="E78" s="200" t="inlineStr">
        <is>
          <t>—</t>
        </is>
      </c>
      <c r="F78" s="200" t="inlineStr">
        <is>
          <t>Girish A</t>
        </is>
      </c>
      <c r="G78" s="200" t="inlineStr">
        <is>
          <t>Offline</t>
        </is>
      </c>
      <c r="H78" s="200" t="inlineStr">
        <is>
          <t>Communicate 360- Anish's team · proctoring</t>
        </is>
      </c>
      <c r="I78" s="201" t="n">
        <v>1.5</v>
      </c>
    </row>
    <row r="79" ht="15.75" customHeight="1" s="156">
      <c r="A79" s="199" t="n">
        <v>73</v>
      </c>
      <c r="B79" s="200" t="inlineStr">
        <is>
          <t>Support Training</t>
        </is>
      </c>
      <c r="C79" s="200" t="inlineStr">
        <is>
          <t>Managers training discussion</t>
        </is>
      </c>
      <c r="D79" s="200" t="inlineStr">
        <is>
          <t>2026-05-12</t>
        </is>
      </c>
      <c r="E79" s="200" t="inlineStr">
        <is>
          <t>—</t>
        </is>
      </c>
      <c r="F79" s="200" t="inlineStr">
        <is>
          <t>Girish A</t>
        </is>
      </c>
      <c r="G79" s="200" t="inlineStr">
        <is>
          <t>Offline</t>
        </is>
      </c>
      <c r="H79" s="200" t="inlineStr">
        <is>
          <t>Managers training discussion</t>
        </is>
      </c>
      <c r="I79" s="201" t="n">
        <v>3</v>
      </c>
    </row>
    <row r="80" ht="15.75" customHeight="1" s="156">
      <c r="A80" s="199" t="n">
        <v>74</v>
      </c>
      <c r="B80" s="200" t="inlineStr">
        <is>
          <t>Support Training</t>
        </is>
      </c>
      <c r="C80" s="200" t="inlineStr">
        <is>
          <t>Communicate 360- Anish's team · proctoring ·</t>
        </is>
      </c>
      <c r="D80" s="200" t="inlineStr">
        <is>
          <t>2026-05-13</t>
        </is>
      </c>
      <c r="E80" s="200" t="inlineStr">
        <is>
          <t>—</t>
        </is>
      </c>
      <c r="F80" s="200" t="inlineStr">
        <is>
          <t>Girish A</t>
        </is>
      </c>
      <c r="G80" s="200" t="inlineStr">
        <is>
          <t>Offline</t>
        </is>
      </c>
      <c r="H80" s="200" t="inlineStr">
        <is>
          <t>Communicate 360- Anish's team · proctoring ·</t>
        </is>
      </c>
      <c r="I80" s="201" t="n">
        <v>3</v>
      </c>
    </row>
    <row r="81" ht="15.75" customHeight="1" s="156">
      <c r="A81" s="199" t="n">
        <v>75</v>
      </c>
      <c r="B81" s="200" t="inlineStr">
        <is>
          <t>Support Training</t>
        </is>
      </c>
      <c r="C81" s="200" t="inlineStr">
        <is>
          <t>Managers training discussion</t>
        </is>
      </c>
      <c r="D81" s="200" t="inlineStr">
        <is>
          <t>2026-05-13</t>
        </is>
      </c>
      <c r="E81" s="200" t="inlineStr">
        <is>
          <t>—</t>
        </is>
      </c>
      <c r="F81" s="200" t="inlineStr">
        <is>
          <t>Girish A</t>
        </is>
      </c>
      <c r="G81" s="200" t="inlineStr">
        <is>
          <t>Offline</t>
        </is>
      </c>
      <c r="H81" s="200" t="inlineStr">
        <is>
          <t>Managers training discussion</t>
        </is>
      </c>
      <c r="I81" s="201" t="n">
        <v>2</v>
      </c>
    </row>
    <row r="82" ht="15.75" customHeight="1" s="156">
      <c r="A82" s="199" t="n">
        <v>76</v>
      </c>
      <c r="B82" s="200" t="inlineStr">
        <is>
          <t>Support Training</t>
        </is>
      </c>
      <c r="C82" s="200" t="inlineStr">
        <is>
          <t>Manager Assessments integration</t>
        </is>
      </c>
      <c r="D82" s="200" t="inlineStr">
        <is>
          <t>2026-05-14</t>
        </is>
      </c>
      <c r="E82" s="200" t="inlineStr">
        <is>
          <t>—</t>
        </is>
      </c>
      <c r="F82" s="200" t="inlineStr">
        <is>
          <t>Girish A</t>
        </is>
      </c>
      <c r="G82" s="200" t="inlineStr">
        <is>
          <t>Offline</t>
        </is>
      </c>
      <c r="H82" s="200" t="inlineStr">
        <is>
          <t>Manager Assessments integration</t>
        </is>
      </c>
      <c r="I82" s="201" t="n">
        <v>3</v>
      </c>
    </row>
    <row r="83" ht="15.75" customHeight="1" s="156">
      <c r="A83" s="196" t="n">
        <v>77</v>
      </c>
      <c r="B83" s="197" t="inlineStr">
        <is>
          <t>Support Training</t>
        </is>
      </c>
      <c r="C83" s="197" t="inlineStr">
        <is>
          <t>Preperation for Session on Primary and Secondary transfer of securities and SOPs of Abusive calls</t>
        </is>
      </c>
      <c r="D83" s="197" t="inlineStr">
        <is>
          <t>2026-05-18</t>
        </is>
      </c>
      <c r="E83" s="197" t="inlineStr">
        <is>
          <t>—</t>
        </is>
      </c>
      <c r="F83" s="197" t="inlineStr">
        <is>
          <t>Girish A</t>
        </is>
      </c>
      <c r="G83" s="197" t="inlineStr">
        <is>
          <t>Online</t>
        </is>
      </c>
      <c r="H83" s="197" t="inlineStr">
        <is>
          <t>Preperation for Session on Primary and Secondary transfer of securities and SOPs of Abusive calls</t>
        </is>
      </c>
      <c r="I83" s="198" t="n">
        <v>4</v>
      </c>
    </row>
    <row r="84" ht="15.75" customHeight="1" s="156">
      <c r="A84" s="196" t="n">
        <v>78</v>
      </c>
      <c r="B84" s="197" t="inlineStr">
        <is>
          <t>Support Training</t>
        </is>
      </c>
      <c r="C84" s="197" t="inlineStr">
        <is>
          <t>Preperation for Session on Primary and Secondary transfer of securities and SOPs of Abusive calls</t>
        </is>
      </c>
      <c r="D84" s="197" t="inlineStr">
        <is>
          <t>2026-05-19</t>
        </is>
      </c>
      <c r="E84" s="197" t="inlineStr">
        <is>
          <t>—</t>
        </is>
      </c>
      <c r="F84" s="197" t="inlineStr">
        <is>
          <t>Girish A</t>
        </is>
      </c>
      <c r="G84" s="197" t="inlineStr">
        <is>
          <t>Online</t>
        </is>
      </c>
      <c r="H84" s="197" t="inlineStr">
        <is>
          <t>Preperation for Session on Primary and Secondary transfer of securities and SOPs of Abusive calls</t>
        </is>
      </c>
      <c r="I84" s="198" t="n">
        <v>6</v>
      </c>
    </row>
    <row r="85" ht="15.75" customHeight="1" s="156">
      <c r="A85" s="196" t="n">
        <v>79</v>
      </c>
      <c r="B85" s="197" t="inlineStr">
        <is>
          <t>Other</t>
        </is>
      </c>
      <c r="C85" s="197" t="inlineStr">
        <is>
          <t>NRI training preparations</t>
        </is>
      </c>
      <c r="D85" s="197" t="inlineStr">
        <is>
          <t>2026-05-26</t>
        </is>
      </c>
      <c r="E85" s="197" t="inlineStr">
        <is>
          <t>—</t>
        </is>
      </c>
      <c r="F85" s="197" t="inlineStr">
        <is>
          <t>Girish A</t>
        </is>
      </c>
      <c r="G85" s="197" t="inlineStr">
        <is>
          <t>Online</t>
        </is>
      </c>
      <c r="H85" s="197" t="inlineStr">
        <is>
          <t>NRI training preparations</t>
        </is>
      </c>
      <c r="I85" s="198" t="n">
        <v>2</v>
      </c>
    </row>
    <row r="86" ht="15.75" customHeight="1" s="156">
      <c r="A86" s="199" t="n">
        <v>80</v>
      </c>
      <c r="B86" s="200" t="inlineStr">
        <is>
          <t>Other</t>
        </is>
      </c>
      <c r="C86" s="200" t="inlineStr">
        <is>
          <t>NRI training preparations</t>
        </is>
      </c>
      <c r="D86" s="200" t="inlineStr">
        <is>
          <t>2026-05-27</t>
        </is>
      </c>
      <c r="E86" s="200" t="inlineStr">
        <is>
          <t>—</t>
        </is>
      </c>
      <c r="F86" s="200" t="inlineStr">
        <is>
          <t>Girish A</t>
        </is>
      </c>
      <c r="G86" s="200" t="inlineStr">
        <is>
          <t>Offline</t>
        </is>
      </c>
      <c r="H86" s="200" t="inlineStr">
        <is>
          <t>NRI training preparations</t>
        </is>
      </c>
      <c r="I86" s="201" t="n">
        <v>2</v>
      </c>
    </row>
    <row r="87" ht="15.75" customHeight="1" s="156">
      <c r="A87" s="199" t="n">
        <v>81</v>
      </c>
      <c r="B87" s="200" t="inlineStr">
        <is>
          <t>Other</t>
        </is>
      </c>
      <c r="C87" s="200" t="inlineStr">
        <is>
          <t>NRI training preparations</t>
        </is>
      </c>
      <c r="D87" s="200" t="inlineStr">
        <is>
          <t>2026-05-29</t>
        </is>
      </c>
      <c r="E87" s="200" t="inlineStr">
        <is>
          <t>—</t>
        </is>
      </c>
      <c r="F87" s="200" t="inlineStr">
        <is>
          <t>Girish A</t>
        </is>
      </c>
      <c r="G87" s="200" t="inlineStr">
        <is>
          <t>Offline</t>
        </is>
      </c>
      <c r="H87" s="200" t="inlineStr">
        <is>
          <t>NRI training preparations</t>
        </is>
      </c>
      <c r="I87" s="201" t="n">
        <v>4</v>
      </c>
    </row>
    <row r="88" ht="15.75" customHeight="1" s="156">
      <c r="A88" s="196" t="n">
        <v>82</v>
      </c>
      <c r="B88" s="197" t="inlineStr">
        <is>
          <t>Other</t>
        </is>
      </c>
      <c r="C88" s="197" t="inlineStr">
        <is>
          <t>Anish's team report sending</t>
        </is>
      </c>
      <c r="D88" s="197" t="inlineStr">
        <is>
          <t>2026-05-29</t>
        </is>
      </c>
      <c r="E88" s="197" t="inlineStr">
        <is>
          <t>—</t>
        </is>
      </c>
      <c r="F88" s="197" t="inlineStr">
        <is>
          <t>Harish Bhat</t>
        </is>
      </c>
      <c r="G88" s="197" t="inlineStr">
        <is>
          <t>Online</t>
        </is>
      </c>
      <c r="H88" s="197" t="inlineStr">
        <is>
          <t>Anish's team report sending</t>
        </is>
      </c>
      <c r="I88" s="198" t="n">
        <v>2</v>
      </c>
    </row>
    <row r="89" ht="15.75" customHeight="1" s="156">
      <c r="A89" s="196" t="n">
        <v>83</v>
      </c>
      <c r="B89" s="197" t="inlineStr">
        <is>
          <t>Support Training</t>
        </is>
      </c>
      <c r="C89" s="197" t="inlineStr">
        <is>
          <t>Recruitment paper preparation</t>
        </is>
      </c>
      <c r="D89" s="197" t="inlineStr">
        <is>
          <t>2026-05-21</t>
        </is>
      </c>
      <c r="E89" s="197" t="inlineStr">
        <is>
          <t>—</t>
        </is>
      </c>
      <c r="F89" s="197" t="inlineStr">
        <is>
          <t>Harish Bhat</t>
        </is>
      </c>
      <c r="G89" s="197" t="inlineStr">
        <is>
          <t>Online</t>
        </is>
      </c>
      <c r="H89" s="197" t="inlineStr">
        <is>
          <t>Recruitment paper preparation</t>
        </is>
      </c>
      <c r="I89" s="198" t="n">
        <v>2</v>
      </c>
    </row>
    <row r="90" ht="15.75" customHeight="1" s="156">
      <c r="A90" s="199" t="n">
        <v>84</v>
      </c>
      <c r="B90" s="200" t="inlineStr">
        <is>
          <t>Support Training</t>
        </is>
      </c>
      <c r="C90" s="200" t="inlineStr">
        <is>
          <t>Communicate 360- Anish's team proctoring</t>
        </is>
      </c>
      <c r="D90" s="200" t="inlineStr">
        <is>
          <t>2026-05-06</t>
        </is>
      </c>
      <c r="E90" s="200" t="inlineStr">
        <is>
          <t>—</t>
        </is>
      </c>
      <c r="F90" s="200" t="inlineStr">
        <is>
          <t>Girish A</t>
        </is>
      </c>
      <c r="G90" s="200" t="inlineStr">
        <is>
          <t>Offline</t>
        </is>
      </c>
      <c r="H90" s="200" t="inlineStr">
        <is>
          <t>Communicate 360- Anish's team proctoring</t>
        </is>
      </c>
      <c r="I90" s="201" t="n">
        <v>2</v>
      </c>
    </row>
    <row r="91" ht="15.75" customHeight="1" s="156">
      <c r="A91" s="199" t="n">
        <v>85</v>
      </c>
      <c r="B91" s="200" t="inlineStr">
        <is>
          <t>Support Training</t>
        </is>
      </c>
      <c r="C91" s="200" t="inlineStr">
        <is>
          <t>Communicate 360- Anish's team</t>
        </is>
      </c>
      <c r="D91" s="200" t="inlineStr">
        <is>
          <t>2026-05-05</t>
        </is>
      </c>
      <c r="E91" s="200" t="inlineStr">
        <is>
          <t>—</t>
        </is>
      </c>
      <c r="F91" s="200" t="inlineStr">
        <is>
          <t>Girish A</t>
        </is>
      </c>
      <c r="G91" s="200" t="inlineStr">
        <is>
          <t>Offline</t>
        </is>
      </c>
      <c r="H91" s="200" t="inlineStr">
        <is>
          <t>Communicate 360- Anish's team</t>
        </is>
      </c>
      <c r="I91" s="201" t="n">
        <v>2</v>
      </c>
    </row>
    <row r="92" ht="15.75" customHeight="1" s="156">
      <c r="A92" s="196" t="n">
        <v>86</v>
      </c>
      <c r="B92" s="197" t="inlineStr">
        <is>
          <t>Other</t>
        </is>
      </c>
      <c r="C92" s="197" t="inlineStr">
        <is>
          <t>NRI training preparations</t>
        </is>
      </c>
      <c r="D92" s="197" t="inlineStr">
        <is>
          <t>2026-05-25</t>
        </is>
      </c>
      <c r="E92" s="197" t="inlineStr">
        <is>
          <t>—</t>
        </is>
      </c>
      <c r="F92" s="197" t="inlineStr">
        <is>
          <t>Girish A</t>
        </is>
      </c>
      <c r="G92" s="197" t="inlineStr">
        <is>
          <t>Online</t>
        </is>
      </c>
      <c r="H92" s="197" t="inlineStr">
        <is>
          <t>NRI training preparations</t>
        </is>
      </c>
      <c r="I92" s="198" t="n">
        <v>2</v>
      </c>
    </row>
    <row r="93" ht="15.75" customHeight="1" s="156">
      <c r="A93" s="199" t="n">
        <v>87</v>
      </c>
      <c r="B93" s="200" t="inlineStr">
        <is>
          <t>Support Training</t>
        </is>
      </c>
      <c r="C93" s="200" t="inlineStr">
        <is>
          <t>Communicate 360- Anish's team · proctoring</t>
        </is>
      </c>
      <c r="D93" s="200" t="inlineStr">
        <is>
          <t>2026-05-04</t>
        </is>
      </c>
      <c r="E93" s="200" t="inlineStr">
        <is>
          <t>—</t>
        </is>
      </c>
      <c r="F93" s="200" t="inlineStr">
        <is>
          <t>Girish A</t>
        </is>
      </c>
      <c r="G93" s="200" t="inlineStr">
        <is>
          <t>Offline</t>
        </is>
      </c>
      <c r="H93" s="200" t="inlineStr">
        <is>
          <t>Communicate 360- Anish's team · proctoring</t>
        </is>
      </c>
      <c r="I93" s="201" t="n">
        <v>3</v>
      </c>
    </row>
    <row r="94" ht="15.75" customHeight="1" s="156">
      <c r="A94" s="199" t="n">
        <v>88</v>
      </c>
      <c r="B94" s="200" t="inlineStr">
        <is>
          <t>Support Training</t>
        </is>
      </c>
      <c r="C94" s="200" t="inlineStr">
        <is>
          <t>Communicate 360- Renu's team</t>
        </is>
      </c>
      <c r="D94" s="200" t="inlineStr">
        <is>
          <t>2026-05-11</t>
        </is>
      </c>
      <c r="E94" s="200" t="inlineStr">
        <is>
          <t>—</t>
        </is>
      </c>
      <c r="F94" s="200" t="inlineStr">
        <is>
          <t>Freeda Reshma Dsouza</t>
        </is>
      </c>
      <c r="G94" s="200" t="inlineStr">
        <is>
          <t>Offline</t>
        </is>
      </c>
      <c r="H94" s="200" t="inlineStr">
        <is>
          <t>Communicate 360- Renu's team</t>
        </is>
      </c>
      <c r="I94" s="201" t="n">
        <v>5</v>
      </c>
    </row>
    <row r="95" ht="15.75" customHeight="1" s="156">
      <c r="A95" s="199" t="n">
        <v>89</v>
      </c>
      <c r="B95" s="200" t="inlineStr">
        <is>
          <t>Support Training</t>
        </is>
      </c>
      <c r="C95" s="200" t="inlineStr">
        <is>
          <t>Communicate 360- Renu's team</t>
        </is>
      </c>
      <c r="D95" s="200" t="inlineStr">
        <is>
          <t>2026-05-12</t>
        </is>
      </c>
      <c r="E95" s="200" t="inlineStr">
        <is>
          <t>—</t>
        </is>
      </c>
      <c r="F95" s="200" t="inlineStr">
        <is>
          <t>Freeda Reshma Dsouza</t>
        </is>
      </c>
      <c r="G95" s="200" t="inlineStr">
        <is>
          <t>Offline</t>
        </is>
      </c>
      <c r="H95" s="200" t="inlineStr">
        <is>
          <t>Communicate 360- Renu's team</t>
        </is>
      </c>
      <c r="I95" s="201" t="n">
        <v>5</v>
      </c>
    </row>
    <row r="96" ht="15.75" customHeight="1" s="156">
      <c r="A96" s="199" t="n">
        <v>90</v>
      </c>
      <c r="B96" s="200" t="inlineStr">
        <is>
          <t>Support Training</t>
        </is>
      </c>
      <c r="C96" s="200" t="inlineStr">
        <is>
          <t>Communicate 360- Renu's team</t>
        </is>
      </c>
      <c r="D96" s="200" t="inlineStr">
        <is>
          <t>2026-05-14</t>
        </is>
      </c>
      <c r="E96" s="200" t="inlineStr">
        <is>
          <t>—</t>
        </is>
      </c>
      <c r="F96" s="200" t="inlineStr">
        <is>
          <t>Freeda Reshma Dsouza</t>
        </is>
      </c>
      <c r="G96" s="200" t="inlineStr">
        <is>
          <t>Offline</t>
        </is>
      </c>
      <c r="H96" s="200" t="inlineStr">
        <is>
          <t>Communicate 360- Renu's team</t>
        </is>
      </c>
      <c r="I96" s="201" t="n">
        <v>5</v>
      </c>
    </row>
    <row r="97" ht="15.75" customHeight="1" s="156">
      <c r="A97" s="199" t="n">
        <v>91</v>
      </c>
      <c r="B97" s="200" t="inlineStr">
        <is>
          <t>Support Training</t>
        </is>
      </c>
      <c r="C97" s="200" t="inlineStr">
        <is>
          <t>Communicate 360- Renu's team</t>
        </is>
      </c>
      <c r="D97" s="200" t="inlineStr">
        <is>
          <t>2026-05-13</t>
        </is>
      </c>
      <c r="E97" s="200" t="inlineStr">
        <is>
          <t>—</t>
        </is>
      </c>
      <c r="F97" s="200" t="inlineStr">
        <is>
          <t>Freeda Reshma Dsouza</t>
        </is>
      </c>
      <c r="G97" s="200" t="inlineStr">
        <is>
          <t>Offline</t>
        </is>
      </c>
      <c r="H97" s="200" t="inlineStr">
        <is>
          <t>Communicate 360- Renu's team</t>
        </is>
      </c>
      <c r="I97" s="201" t="n">
        <v>5</v>
      </c>
    </row>
    <row r="98" ht="15.75" customHeight="1" s="156">
      <c r="A98" s="196" t="n">
        <v>92</v>
      </c>
      <c r="B98" s="197" t="inlineStr">
        <is>
          <t>Other</t>
        </is>
      </c>
      <c r="C98" s="197" t="inlineStr">
        <is>
          <t>Review on Pick &amp; Speak</t>
        </is>
      </c>
      <c r="D98" s="197" t="inlineStr">
        <is>
          <t>2026-05-27</t>
        </is>
      </c>
      <c r="E98" s="197" t="inlineStr">
        <is>
          <t>—</t>
        </is>
      </c>
      <c r="F98" s="197" t="inlineStr">
        <is>
          <t>Freeda Reshma Dsouza</t>
        </is>
      </c>
      <c r="G98" s="197" t="inlineStr">
        <is>
          <t>Online</t>
        </is>
      </c>
      <c r="H98" s="197" t="inlineStr">
        <is>
          <t>Review on Pick &amp; Speak</t>
        </is>
      </c>
      <c r="I98" s="198" t="n">
        <v>3</v>
      </c>
    </row>
    <row r="99" ht="15.75" customHeight="1" s="156">
      <c r="A99" s="202" t="inlineStr">
        <is>
          <t>TOTAL MAN HOURS THIS MONTH</t>
        </is>
      </c>
      <c r="B99" s="202" t="n"/>
      <c r="C99" s="202" t="n"/>
      <c r="D99" s="202" t="n"/>
      <c r="E99" s="202" t="n"/>
      <c r="F99" s="202" t="n"/>
      <c r="G99" s="202" t="n"/>
      <c r="H99" s="202" t="n"/>
      <c r="I99" s="203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1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2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3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6" t="n">
        <v>1</v>
      </c>
      <c r="B7" s="197" t="inlineStr">
        <is>
          <t>Other</t>
        </is>
      </c>
      <c r="C7" s="197" t="inlineStr">
        <is>
          <t>QOD preparations</t>
        </is>
      </c>
      <c r="D7" s="197" t="inlineStr">
        <is>
          <t>2026-06-01</t>
        </is>
      </c>
      <c r="E7" s="197" t="inlineStr">
        <is>
          <t>—</t>
        </is>
      </c>
      <c r="F7" s="197" t="inlineStr">
        <is>
          <t>Girish A</t>
        </is>
      </c>
      <c r="G7" s="197" t="inlineStr">
        <is>
          <t>Online</t>
        </is>
      </c>
      <c r="H7" s="197" t="inlineStr">
        <is>
          <t>QOD preparations</t>
        </is>
      </c>
      <c r="I7" s="198" t="n">
        <v>1</v>
      </c>
    </row>
    <row r="8" ht="21.75" customHeight="1" s="156">
      <c r="A8" s="199" t="n">
        <v>2</v>
      </c>
      <c r="B8" s="200" t="inlineStr">
        <is>
          <t>Support Training</t>
        </is>
      </c>
      <c r="C8" s="200" t="inlineStr">
        <is>
          <t>Communicate 360- Renu's team</t>
        </is>
      </c>
      <c r="D8" s="200" t="inlineStr">
        <is>
          <t>2026-06-02</t>
        </is>
      </c>
      <c r="E8" s="200" t="inlineStr">
        <is>
          <t>—</t>
        </is>
      </c>
      <c r="F8" s="200" t="inlineStr">
        <is>
          <t>Freeda Reshma Dsouza</t>
        </is>
      </c>
      <c r="G8" s="200" t="inlineStr">
        <is>
          <t>Offline</t>
        </is>
      </c>
      <c r="H8" s="200" t="inlineStr">
        <is>
          <t>Communicate 360- Renu's team</t>
        </is>
      </c>
      <c r="I8" s="201" t="n">
        <v>5</v>
      </c>
    </row>
    <row r="9" ht="21.75" customHeight="1" s="156">
      <c r="A9" s="199" t="n">
        <v>3</v>
      </c>
      <c r="B9" s="200" t="inlineStr">
        <is>
          <t>Support Training</t>
        </is>
      </c>
      <c r="C9" s="200" t="inlineStr">
        <is>
          <t>Communicate 360- Renu's team</t>
        </is>
      </c>
      <c r="D9" s="200" t="inlineStr">
        <is>
          <t>2026-06-03</t>
        </is>
      </c>
      <c r="E9" s="200" t="inlineStr">
        <is>
          <t>—</t>
        </is>
      </c>
      <c r="F9" s="200" t="inlineStr">
        <is>
          <t>Freeda Reshma Dsouza</t>
        </is>
      </c>
      <c r="G9" s="200" t="inlineStr">
        <is>
          <t>Offline</t>
        </is>
      </c>
      <c r="H9" s="200" t="inlineStr">
        <is>
          <t>Communicate 360- Renu's team</t>
        </is>
      </c>
      <c r="I9" s="201" t="n">
        <v>5</v>
      </c>
    </row>
    <row r="10" ht="21.75" customHeight="1" s="156">
      <c r="A10" s="199" t="n">
        <v>4</v>
      </c>
      <c r="B10" s="200" t="inlineStr">
        <is>
          <t>Support Training</t>
        </is>
      </c>
      <c r="C10" s="200" t="inlineStr">
        <is>
          <t>Communicate 360- Renu's team</t>
        </is>
      </c>
      <c r="D10" s="200" t="inlineStr">
        <is>
          <t>2026-06-04</t>
        </is>
      </c>
      <c r="E10" s="200" t="inlineStr">
        <is>
          <t>—</t>
        </is>
      </c>
      <c r="F10" s="200" t="inlineStr">
        <is>
          <t>Freeda Reshma Dsouza</t>
        </is>
      </c>
      <c r="G10" s="200" t="inlineStr">
        <is>
          <t>Offline</t>
        </is>
      </c>
      <c r="H10" s="200" t="inlineStr">
        <is>
          <t>Communicate 360- Renu's team</t>
        </is>
      </c>
      <c r="I10" s="201" t="n">
        <v>5</v>
      </c>
    </row>
    <row r="11" ht="21.75" customHeight="1" s="156">
      <c r="A11" s="196" t="n">
        <v>5</v>
      </c>
      <c r="B11" s="197" t="inlineStr">
        <is>
          <t>Support Training</t>
        </is>
      </c>
      <c r="C11" s="197" t="inlineStr">
        <is>
          <t>Review on Pick &amp; Speak</t>
        </is>
      </c>
      <c r="D11" s="197" t="inlineStr">
        <is>
          <t>2026-06-05</t>
        </is>
      </c>
      <c r="E11" s="197" t="inlineStr">
        <is>
          <t>—</t>
        </is>
      </c>
      <c r="F11" s="197" t="inlineStr">
        <is>
          <t>Freeda Reshma Dsouza</t>
        </is>
      </c>
      <c r="G11" s="197" t="inlineStr">
        <is>
          <t>Online</t>
        </is>
      </c>
      <c r="H11" s="197" t="inlineStr">
        <is>
          <t>Review on Pick &amp; Speak</t>
        </is>
      </c>
      <c r="I11" s="198" t="n">
        <v>5</v>
      </c>
    </row>
    <row r="12" ht="21.75" customHeight="1" s="156">
      <c r="A12" s="196" t="n">
        <v>6</v>
      </c>
      <c r="B12" s="197" t="inlineStr">
        <is>
          <t>Support Training</t>
        </is>
      </c>
      <c r="C12" s="197" t="inlineStr">
        <is>
          <t>Communicate 360- Renu's team</t>
        </is>
      </c>
      <c r="D12" s="197" t="inlineStr">
        <is>
          <t>2026-06-01</t>
        </is>
      </c>
      <c r="E12" s="197" t="inlineStr">
        <is>
          <t>—</t>
        </is>
      </c>
      <c r="F12" s="197" t="inlineStr">
        <is>
          <t>Freeda Reshma Dsouza</t>
        </is>
      </c>
      <c r="G12" s="197" t="inlineStr">
        <is>
          <t>Online</t>
        </is>
      </c>
      <c r="H12" s="197" t="inlineStr">
        <is>
          <t>Communicate 360- Renu's team</t>
        </is>
      </c>
      <c r="I12" s="198" t="n">
        <v>5</v>
      </c>
    </row>
    <row r="13" ht="21.75" customHeight="1" s="156">
      <c r="A13" s="196" t="n">
        <v>7</v>
      </c>
      <c r="B13" s="197" t="inlineStr">
        <is>
          <t>Support Training</t>
        </is>
      </c>
      <c r="C13" s="197" t="inlineStr">
        <is>
          <t>Communicate 360- Renu's team</t>
        </is>
      </c>
      <c r="D13" s="197" t="inlineStr">
        <is>
          <t>2026-06-08</t>
        </is>
      </c>
      <c r="E13" s="197" t="inlineStr">
        <is>
          <t>—</t>
        </is>
      </c>
      <c r="F13" s="197" t="inlineStr">
        <is>
          <t>Freeda Reshma Dsouza</t>
        </is>
      </c>
      <c r="G13" s="197" t="inlineStr">
        <is>
          <t>Online</t>
        </is>
      </c>
      <c r="H13" s="197" t="inlineStr">
        <is>
          <t>Communicate 360- Renu's team</t>
        </is>
      </c>
      <c r="I13" s="198" t="n">
        <v>2.5</v>
      </c>
    </row>
    <row r="14" ht="21.75" customHeight="1" s="156">
      <c r="A14" s="196" t="n">
        <v>8</v>
      </c>
      <c r="B14" s="197" t="inlineStr">
        <is>
          <t>Other</t>
        </is>
      </c>
      <c r="C14" s="197" t="inlineStr">
        <is>
          <t>Communicate 360- Renu's team proctoring</t>
        </is>
      </c>
      <c r="D14" s="197" t="inlineStr">
        <is>
          <t>2026-06-01</t>
        </is>
      </c>
      <c r="E14" s="197" t="inlineStr">
        <is>
          <t>—</t>
        </is>
      </c>
      <c r="F14" s="197" t="inlineStr">
        <is>
          <t>Girish A</t>
        </is>
      </c>
      <c r="G14" s="197" t="inlineStr">
        <is>
          <t>Online</t>
        </is>
      </c>
      <c r="H14" s="197" t="inlineStr">
        <is>
          <t>Communicate 360- Renu's team proctoring</t>
        </is>
      </c>
      <c r="I14" s="198" t="n">
        <v>2</v>
      </c>
    </row>
    <row r="15" ht="21.75" customHeight="1" s="156">
      <c r="A15" s="199" t="n">
        <v>9</v>
      </c>
      <c r="B15" s="200" t="inlineStr">
        <is>
          <t>Support Training</t>
        </is>
      </c>
      <c r="C15" s="200" t="inlineStr">
        <is>
          <t>NRI Sales and Acop Training session</t>
        </is>
      </c>
      <c r="D15" s="200" t="inlineStr">
        <is>
          <t>2026-06-02</t>
        </is>
      </c>
      <c r="E15" s="200" t="inlineStr">
        <is>
          <t>—</t>
        </is>
      </c>
      <c r="F15" s="200" t="inlineStr">
        <is>
          <t>Girish A</t>
        </is>
      </c>
      <c r="G15" s="200" t="inlineStr">
        <is>
          <t>Offline</t>
        </is>
      </c>
      <c r="H15" s="200" t="inlineStr">
        <is>
          <t>NRI Sales and Acop Training session</t>
        </is>
      </c>
      <c r="I15" s="201" t="n">
        <v>6.5</v>
      </c>
    </row>
    <row r="16" ht="21.75" customHeight="1" s="156">
      <c r="A16" s="199" t="n">
        <v>10</v>
      </c>
      <c r="B16" s="200" t="inlineStr">
        <is>
          <t>Support Training</t>
        </is>
      </c>
      <c r="C16" s="200" t="inlineStr">
        <is>
          <t>NRI Sales and Acop Training session</t>
        </is>
      </c>
      <c r="D16" s="200" t="inlineStr">
        <is>
          <t>2026-06-03</t>
        </is>
      </c>
      <c r="E16" s="200" t="inlineStr">
        <is>
          <t>—</t>
        </is>
      </c>
      <c r="F16" s="200" t="inlineStr">
        <is>
          <t>Girish A</t>
        </is>
      </c>
      <c r="G16" s="200" t="inlineStr">
        <is>
          <t>Offline</t>
        </is>
      </c>
      <c r="H16" s="200" t="inlineStr">
        <is>
          <t>NRI Sales and Acop Training session</t>
        </is>
      </c>
      <c r="I16" s="201" t="n">
        <v>6.5</v>
      </c>
    </row>
    <row r="17" ht="21.75" customHeight="1" s="156">
      <c r="A17" s="199" t="n">
        <v>11</v>
      </c>
      <c r="B17" s="200" t="inlineStr">
        <is>
          <t>Support Training</t>
        </is>
      </c>
      <c r="C17" s="200" t="inlineStr">
        <is>
          <t>NRI Sales and Acop Training session</t>
        </is>
      </c>
      <c r="D17" s="200" t="inlineStr">
        <is>
          <t>2026-06-04</t>
        </is>
      </c>
      <c r="E17" s="200" t="inlineStr">
        <is>
          <t>—</t>
        </is>
      </c>
      <c r="F17" s="200" t="inlineStr">
        <is>
          <t>Girish A</t>
        </is>
      </c>
      <c r="G17" s="200" t="inlineStr">
        <is>
          <t>Offline</t>
        </is>
      </c>
      <c r="H17" s="200" t="inlineStr">
        <is>
          <t>NRI Sales and Acop Training session</t>
        </is>
      </c>
      <c r="I17" s="201" t="n">
        <v>6.5</v>
      </c>
    </row>
    <row r="18" ht="21.75" customHeight="1" s="156">
      <c r="A18" s="199" t="n">
        <v>12</v>
      </c>
      <c r="B18" s="200" t="inlineStr">
        <is>
          <t>Support Training</t>
        </is>
      </c>
      <c r="C18" s="200" t="inlineStr">
        <is>
          <t>NRI Sales and Acop Training session</t>
        </is>
      </c>
      <c r="D18" s="200" t="inlineStr">
        <is>
          <t>2026-06-05</t>
        </is>
      </c>
      <c r="E18" s="200" t="inlineStr">
        <is>
          <t>—</t>
        </is>
      </c>
      <c r="F18" s="200" t="inlineStr">
        <is>
          <t>Girish A</t>
        </is>
      </c>
      <c r="G18" s="200" t="inlineStr">
        <is>
          <t>Offline</t>
        </is>
      </c>
      <c r="H18" s="200" t="inlineStr">
        <is>
          <t>NRI Sales and Acop Training session</t>
        </is>
      </c>
      <c r="I18" s="201" t="n">
        <v>6.5</v>
      </c>
    </row>
    <row r="19" ht="21.75" customHeight="1" s="156">
      <c r="A19" s="199" t="n">
        <v>13</v>
      </c>
      <c r="B19" s="200" t="inlineStr">
        <is>
          <t>Support Training</t>
        </is>
      </c>
      <c r="C19" s="200" t="inlineStr">
        <is>
          <t>NRI Sales and Acop Training session</t>
        </is>
      </c>
      <c r="D19" s="200" t="inlineStr">
        <is>
          <t>2026-06-08</t>
        </is>
      </c>
      <c r="E19" s="200" t="inlineStr">
        <is>
          <t>—</t>
        </is>
      </c>
      <c r="F19" s="200" t="inlineStr">
        <is>
          <t>Girish A</t>
        </is>
      </c>
      <c r="G19" s="200" t="inlineStr">
        <is>
          <t>Offline</t>
        </is>
      </c>
      <c r="H19" s="200" t="inlineStr">
        <is>
          <t>NRI Sales and Acop Training session</t>
        </is>
      </c>
      <c r="I19" s="201" t="n">
        <v>6.5</v>
      </c>
    </row>
    <row r="20" ht="21.75" customHeight="1" s="156">
      <c r="A20" s="199" t="n">
        <v>14</v>
      </c>
      <c r="B20" s="200" t="inlineStr">
        <is>
          <t>Support Training</t>
        </is>
      </c>
      <c r="C20" s="200" t="inlineStr">
        <is>
          <t>NRI Sales and Acop Training session</t>
        </is>
      </c>
      <c r="D20" s="200" t="inlineStr">
        <is>
          <t>2026-06-09</t>
        </is>
      </c>
      <c r="E20" s="200" t="inlineStr">
        <is>
          <t>—</t>
        </is>
      </c>
      <c r="F20" s="200" t="inlineStr">
        <is>
          <t>Girish A</t>
        </is>
      </c>
      <c r="G20" s="200" t="inlineStr">
        <is>
          <t>Offline</t>
        </is>
      </c>
      <c r="H20" s="200" t="inlineStr">
        <is>
          <t>NRI Sales and Acop Training session</t>
        </is>
      </c>
      <c r="I20" s="201" t="n">
        <v>6.5</v>
      </c>
    </row>
    <row r="21" ht="21.75" customHeight="1" s="156">
      <c r="A21" s="199" t="n">
        <v>15</v>
      </c>
      <c r="B21" s="200" t="inlineStr">
        <is>
          <t>Support Training</t>
        </is>
      </c>
      <c r="C21" s="200" t="inlineStr">
        <is>
          <t>Communicate 360- Renu's team</t>
        </is>
      </c>
      <c r="D21" s="200" t="inlineStr">
        <is>
          <t>2026-06-09</t>
        </is>
      </c>
      <c r="E21" s="200" t="inlineStr">
        <is>
          <t>—</t>
        </is>
      </c>
      <c r="F21" s="200" t="inlineStr">
        <is>
          <t>Freeda Reshma Dsouza</t>
        </is>
      </c>
      <c r="G21" s="200" t="inlineStr">
        <is>
          <t>Offline</t>
        </is>
      </c>
      <c r="H21" s="200" t="inlineStr">
        <is>
          <t>Communicate 360- Renu's team</t>
        </is>
      </c>
      <c r="I21" s="201" t="n">
        <v>2.25</v>
      </c>
    </row>
    <row r="22" ht="27.75" customHeight="1" s="156">
      <c r="A22" s="199" t="n">
        <v>16</v>
      </c>
      <c r="B22" s="200" t="inlineStr">
        <is>
          <t>Support Training</t>
        </is>
      </c>
      <c r="C22" s="200" t="inlineStr">
        <is>
          <t>Communicate 360- Renu's team</t>
        </is>
      </c>
      <c r="D22" s="200" t="inlineStr">
        <is>
          <t>2026-06-10</t>
        </is>
      </c>
      <c r="E22" s="200" t="inlineStr">
        <is>
          <t>—</t>
        </is>
      </c>
      <c r="F22" s="200" t="inlineStr">
        <is>
          <t>Freeda Reshma Dsouza</t>
        </is>
      </c>
      <c r="G22" s="200" t="inlineStr">
        <is>
          <t>Offline</t>
        </is>
      </c>
      <c r="H22" s="200" t="inlineStr">
        <is>
          <t>Communicate 360- Renu's team</t>
        </is>
      </c>
      <c r="I22" s="201" t="n">
        <v>2.25</v>
      </c>
    </row>
    <row r="23" ht="15.75" customHeight="1" s="156">
      <c r="A23" s="199" t="n">
        <v>17</v>
      </c>
      <c r="B23" s="200" t="inlineStr">
        <is>
          <t>Assessment</t>
        </is>
      </c>
      <c r="C23" s="200" t="inlineStr">
        <is>
          <t>Review on Pick &amp; Speak &amp; mockcall - Renu team</t>
        </is>
      </c>
      <c r="D23" s="200" t="inlineStr">
        <is>
          <t>2026-06-10</t>
        </is>
      </c>
      <c r="E23" s="200" t="inlineStr">
        <is>
          <t>—</t>
        </is>
      </c>
      <c r="F23" s="200" t="inlineStr">
        <is>
          <t>Harish Bhat</t>
        </is>
      </c>
      <c r="G23" s="200" t="inlineStr">
        <is>
          <t>Offline</t>
        </is>
      </c>
      <c r="H23" s="200" t="inlineStr">
        <is>
          <t>Review on Pick &amp; Speak &amp; mockcall - Renu team</t>
        </is>
      </c>
      <c r="I23" s="201" t="n">
        <v>4</v>
      </c>
    </row>
    <row r="24" ht="15.75" customHeight="1" s="156">
      <c r="A24" s="199" t="n">
        <v>18</v>
      </c>
      <c r="B24" s="200" t="inlineStr">
        <is>
          <t>Assessment</t>
        </is>
      </c>
      <c r="C24" s="200" t="inlineStr">
        <is>
          <t>Review on Pick &amp; Speak &amp; mockcall - Renu Team</t>
        </is>
      </c>
      <c r="D24" s="200" t="inlineStr">
        <is>
          <t>2026-06-08</t>
        </is>
      </c>
      <c r="E24" s="200" t="inlineStr">
        <is>
          <t>—</t>
        </is>
      </c>
      <c r="F24" s="200" t="inlineStr">
        <is>
          <t>Harish Bhat</t>
        </is>
      </c>
      <c r="G24" s="200" t="inlineStr">
        <is>
          <t>Offline</t>
        </is>
      </c>
      <c r="H24" s="200" t="inlineStr">
        <is>
          <t>Review on Pick &amp; Speak &amp; mockcall - Renu Team</t>
        </is>
      </c>
      <c r="I24" s="201" t="n">
        <v>4</v>
      </c>
    </row>
    <row r="25" ht="15.75" customHeight="1" s="156">
      <c r="A25" s="199" t="n">
        <v>19</v>
      </c>
      <c r="B25" s="200" t="inlineStr">
        <is>
          <t>Assessment</t>
        </is>
      </c>
      <c r="C25" s="200" t="inlineStr">
        <is>
          <t>Review on Pick &amp; Speak &amp; mockcall Renu team</t>
        </is>
      </c>
      <c r="D25" s="200" t="inlineStr">
        <is>
          <t>2026-06-09</t>
        </is>
      </c>
      <c r="E25" s="200" t="inlineStr">
        <is>
          <t>—</t>
        </is>
      </c>
      <c r="F25" s="200" t="inlineStr">
        <is>
          <t>Harish Bhat</t>
        </is>
      </c>
      <c r="G25" s="200" t="inlineStr">
        <is>
          <t>Offline</t>
        </is>
      </c>
      <c r="H25" s="200" t="inlineStr">
        <is>
          <t>Review on Pick &amp; Speak &amp; mockcall Renu team</t>
        </is>
      </c>
      <c r="I25" s="201" t="n">
        <v>4</v>
      </c>
    </row>
    <row r="26" ht="15.75" customHeight="1" s="156">
      <c r="A26" s="199" t="n">
        <v>20</v>
      </c>
      <c r="B26" s="200" t="inlineStr">
        <is>
          <t>Other</t>
        </is>
      </c>
      <c r="C26" s="200" t="inlineStr">
        <is>
          <t>Review on Pick &amp; Speak &amp; mockcall - Renu team</t>
        </is>
      </c>
      <c r="D26" s="200" t="inlineStr">
        <is>
          <t>2026-06-11</t>
        </is>
      </c>
      <c r="E26" s="200" t="inlineStr">
        <is>
          <t>—</t>
        </is>
      </c>
      <c r="F26" s="200" t="inlineStr">
        <is>
          <t>Harish Bhat</t>
        </is>
      </c>
      <c r="G26" s="200" t="inlineStr">
        <is>
          <t>Offline</t>
        </is>
      </c>
      <c r="H26" s="200" t="inlineStr">
        <is>
          <t>Review on Pick &amp; Speak &amp; mockcall - Renu team</t>
        </is>
      </c>
      <c r="I26" s="201" t="n">
        <v>3</v>
      </c>
    </row>
    <row r="27" ht="15.75" customHeight="1" s="156">
      <c r="A27" s="196" t="n">
        <v>21</v>
      </c>
      <c r="B27" s="197" t="inlineStr">
        <is>
          <t>Other</t>
        </is>
      </c>
      <c r="C27" s="197" t="inlineStr">
        <is>
          <t>Candidates Interview</t>
        </is>
      </c>
      <c r="D27" s="197" t="inlineStr">
        <is>
          <t>2026-06-10</t>
        </is>
      </c>
      <c r="E27" s="197" t="inlineStr">
        <is>
          <t>—</t>
        </is>
      </c>
      <c r="F27" s="197" t="inlineStr">
        <is>
          <t>Harish Bhat</t>
        </is>
      </c>
      <c r="G27" s="197" t="inlineStr">
        <is>
          <t>Online</t>
        </is>
      </c>
      <c r="H27" s="197" t="inlineStr">
        <is>
          <t>Candidates Interview</t>
        </is>
      </c>
      <c r="I27" s="198" t="n">
        <v>0.75</v>
      </c>
    </row>
    <row r="28" ht="15.75" customHeight="1" s="156">
      <c r="A28" s="196" t="n">
        <v>22</v>
      </c>
      <c r="B28" s="197" t="inlineStr">
        <is>
          <t>Other</t>
        </is>
      </c>
      <c r="C28" s="197" t="inlineStr">
        <is>
          <t>Candidates Interview</t>
        </is>
      </c>
      <c r="D28" s="197" t="inlineStr">
        <is>
          <t>2026-06-10</t>
        </is>
      </c>
      <c r="E28" s="197" t="inlineStr">
        <is>
          <t>—</t>
        </is>
      </c>
      <c r="F28" s="197" t="inlineStr">
        <is>
          <t>Harish Bhat</t>
        </is>
      </c>
      <c r="G28" s="197" t="inlineStr">
        <is>
          <t>Online</t>
        </is>
      </c>
      <c r="H28" s="197" t="inlineStr">
        <is>
          <t>Candidates Interview</t>
        </is>
      </c>
      <c r="I28" s="198" t="n">
        <v>1</v>
      </c>
    </row>
    <row r="29" ht="15.75" customHeight="1" s="156">
      <c r="A29" s="196" t="n">
        <v>23</v>
      </c>
      <c r="B29" s="197" t="inlineStr">
        <is>
          <t>Other</t>
        </is>
      </c>
      <c r="C29" s="197" t="inlineStr">
        <is>
          <t>varsity tickets</t>
        </is>
      </c>
      <c r="D29" s="197" t="inlineStr">
        <is>
          <t>2026-06-08</t>
        </is>
      </c>
      <c r="E29" s="197" t="inlineStr">
        <is>
          <t>—</t>
        </is>
      </c>
      <c r="F29" s="197" t="inlineStr">
        <is>
          <t>Harish Bhat</t>
        </is>
      </c>
      <c r="G29" s="197" t="inlineStr">
        <is>
          <t>Online</t>
        </is>
      </c>
      <c r="H29" s="197" t="inlineStr">
        <is>
          <t>varsity tickets</t>
        </is>
      </c>
      <c r="I29" s="198" t="n">
        <v>0.25</v>
      </c>
    </row>
    <row r="30" ht="15.75" customHeight="1" s="156">
      <c r="A30" s="196" t="n">
        <v>24</v>
      </c>
      <c r="B30" s="197" t="inlineStr">
        <is>
          <t>Other</t>
        </is>
      </c>
      <c r="C30" s="197" t="inlineStr">
        <is>
          <t>varsity tickets</t>
        </is>
      </c>
      <c r="D30" s="197" t="inlineStr">
        <is>
          <t>2026-06-09</t>
        </is>
      </c>
      <c r="E30" s="197" t="inlineStr">
        <is>
          <t>—</t>
        </is>
      </c>
      <c r="F30" s="197" t="inlineStr">
        <is>
          <t>Harish Bhat</t>
        </is>
      </c>
      <c r="G30" s="197" t="inlineStr">
        <is>
          <t>Online</t>
        </is>
      </c>
      <c r="H30" s="197" t="inlineStr">
        <is>
          <t>varsity tickets</t>
        </is>
      </c>
      <c r="I30" s="198" t="n">
        <v>0.25</v>
      </c>
    </row>
    <row r="31" ht="15.75" customHeight="1" s="156">
      <c r="A31" s="196" t="n">
        <v>25</v>
      </c>
      <c r="B31" s="197" t="inlineStr">
        <is>
          <t>Support Training</t>
        </is>
      </c>
      <c r="C31" s="197" t="inlineStr">
        <is>
          <t>varsity tickets</t>
        </is>
      </c>
      <c r="D31" s="197" t="inlineStr">
        <is>
          <t>2026-06-10</t>
        </is>
      </c>
      <c r="E31" s="197" t="inlineStr">
        <is>
          <t>—</t>
        </is>
      </c>
      <c r="F31" s="197" t="inlineStr">
        <is>
          <t>Harish Bhat</t>
        </is>
      </c>
      <c r="G31" s="197" t="inlineStr">
        <is>
          <t>Online</t>
        </is>
      </c>
      <c r="H31" s="197" t="inlineStr">
        <is>
          <t>varsity tickets</t>
        </is>
      </c>
      <c r="I31" s="198" t="n">
        <v>0.25</v>
      </c>
    </row>
    <row r="32" ht="15.75" customHeight="1" s="156">
      <c r="A32" s="199" t="n">
        <v>26</v>
      </c>
      <c r="B32" s="200" t="inlineStr">
        <is>
          <t>Support Training</t>
        </is>
      </c>
      <c r="C32" s="200" t="inlineStr">
        <is>
          <t>Communicate 360- Renu's team</t>
        </is>
      </c>
      <c r="D32" s="200" t="inlineStr">
        <is>
          <t>2026-06-11</t>
        </is>
      </c>
      <c r="E32" s="200" t="inlineStr">
        <is>
          <t>—</t>
        </is>
      </c>
      <c r="F32" s="200" t="inlineStr">
        <is>
          <t>Freeda Reshma Dsouza</t>
        </is>
      </c>
      <c r="G32" s="200" t="inlineStr">
        <is>
          <t>Offline</t>
        </is>
      </c>
      <c r="H32" s="200" t="inlineStr">
        <is>
          <t>Communicate 360- Renu's team</t>
        </is>
      </c>
      <c r="I32" s="201" t="n">
        <v>2.5</v>
      </c>
    </row>
    <row r="33" ht="15.75" customHeight="1" s="156">
      <c r="A33" s="196" t="n">
        <v>27</v>
      </c>
      <c r="B33" s="197" t="inlineStr">
        <is>
          <t>Support Training</t>
        </is>
      </c>
      <c r="C33" s="197" t="inlineStr">
        <is>
          <t>Review on Pick &amp; Speak -</t>
        </is>
      </c>
      <c r="D33" s="197" t="inlineStr">
        <is>
          <t>2026-06-11</t>
        </is>
      </c>
      <c r="E33" s="197" t="inlineStr">
        <is>
          <t>—</t>
        </is>
      </c>
      <c r="F33" s="197" t="inlineStr">
        <is>
          <t>Freeda Reshma Dsouza</t>
        </is>
      </c>
      <c r="G33" s="197" t="inlineStr">
        <is>
          <t>Online</t>
        </is>
      </c>
      <c r="H33" s="197" t="inlineStr">
        <is>
          <t>Review on Pick &amp; Speak -</t>
        </is>
      </c>
      <c r="I33" s="198" t="n">
        <v>1.25</v>
      </c>
    </row>
    <row r="34" ht="15.75" customHeight="1" s="156">
      <c r="A34" s="196" t="n">
        <v>28</v>
      </c>
      <c r="B34" s="197" t="inlineStr">
        <is>
          <t>Other</t>
        </is>
      </c>
      <c r="C34" s="197" t="inlineStr">
        <is>
          <t>Candidates Interview</t>
        </is>
      </c>
      <c r="D34" s="197" t="inlineStr">
        <is>
          <t>2026-06-12</t>
        </is>
      </c>
      <c r="E34" s="197" t="inlineStr">
        <is>
          <t>—</t>
        </is>
      </c>
      <c r="F34" s="197" t="inlineStr">
        <is>
          <t>Harish Bhat</t>
        </is>
      </c>
      <c r="G34" s="197" t="inlineStr">
        <is>
          <t>Online</t>
        </is>
      </c>
      <c r="H34" s="197" t="inlineStr">
        <is>
          <t>Candidates Interview</t>
        </is>
      </c>
      <c r="I34" s="198" t="n">
        <v>1</v>
      </c>
    </row>
    <row r="35" ht="15.75" customHeight="1" s="156">
      <c r="A35" s="196" t="n">
        <v>29</v>
      </c>
      <c r="B35" s="197" t="inlineStr">
        <is>
          <t>Other</t>
        </is>
      </c>
      <c r="C35" s="197" t="inlineStr">
        <is>
          <t>varsity tickets</t>
        </is>
      </c>
      <c r="D35" s="197" t="inlineStr">
        <is>
          <t>2026-06-11</t>
        </is>
      </c>
      <c r="E35" s="197" t="inlineStr">
        <is>
          <t>—</t>
        </is>
      </c>
      <c r="F35" s="197" t="inlineStr">
        <is>
          <t>Harish Bhat</t>
        </is>
      </c>
      <c r="G35" s="197" t="inlineStr">
        <is>
          <t>Online</t>
        </is>
      </c>
      <c r="H35" s="197" t="inlineStr">
        <is>
          <t>varsity tickets</t>
        </is>
      </c>
      <c r="I35" s="198" t="n">
        <v>0.25</v>
      </c>
    </row>
    <row r="36" ht="15.75" customHeight="1" s="156">
      <c r="A36" s="196" t="n">
        <v>30</v>
      </c>
      <c r="B36" s="197" t="inlineStr">
        <is>
          <t>Other</t>
        </is>
      </c>
      <c r="C36" s="197" t="inlineStr">
        <is>
          <t>Candidates Interview</t>
        </is>
      </c>
      <c r="D36" s="197" t="inlineStr">
        <is>
          <t>2026-06-11</t>
        </is>
      </c>
      <c r="E36" s="197" t="inlineStr">
        <is>
          <t>—</t>
        </is>
      </c>
      <c r="F36" s="197" t="inlineStr">
        <is>
          <t>Harish Bhat</t>
        </is>
      </c>
      <c r="G36" s="197" t="inlineStr">
        <is>
          <t>Online</t>
        </is>
      </c>
      <c r="H36" s="197" t="inlineStr">
        <is>
          <t>Candidates Interview</t>
        </is>
      </c>
      <c r="I36" s="198" t="n">
        <v>1</v>
      </c>
    </row>
    <row r="37" ht="15.75" customHeight="1" s="156">
      <c r="A37" s="196" t="n">
        <v>31</v>
      </c>
      <c r="B37" s="197" t="inlineStr">
        <is>
          <t>Other</t>
        </is>
      </c>
      <c r="C37" s="197" t="inlineStr">
        <is>
          <t>Candidates Interview</t>
        </is>
      </c>
      <c r="D37" s="197" t="inlineStr">
        <is>
          <t>2026-06-15</t>
        </is>
      </c>
      <c r="E37" s="197" t="inlineStr">
        <is>
          <t>—</t>
        </is>
      </c>
      <c r="F37" s="197" t="inlineStr">
        <is>
          <t>Harish Bhat</t>
        </is>
      </c>
      <c r="G37" s="197" t="inlineStr">
        <is>
          <t>Online</t>
        </is>
      </c>
      <c r="H37" s="197" t="inlineStr">
        <is>
          <t>Candidates Interview</t>
        </is>
      </c>
      <c r="I37" s="198" t="n">
        <v>1</v>
      </c>
    </row>
    <row r="38" ht="15.75" customHeight="1" s="156">
      <c r="A38" s="196" t="n">
        <v>32</v>
      </c>
      <c r="B38" s="197" t="inlineStr">
        <is>
          <t>Other</t>
        </is>
      </c>
      <c r="C38" s="197" t="inlineStr">
        <is>
          <t>Varsity exam schedule</t>
        </is>
      </c>
      <c r="D38" s="197" t="inlineStr">
        <is>
          <t>2026-06-12</t>
        </is>
      </c>
      <c r="E38" s="197" t="inlineStr">
        <is>
          <t>—</t>
        </is>
      </c>
      <c r="F38" s="197" t="inlineStr">
        <is>
          <t>Harish Bhat</t>
        </is>
      </c>
      <c r="G38" s="197" t="inlineStr">
        <is>
          <t>Online</t>
        </is>
      </c>
      <c r="H38" s="197" t="inlineStr">
        <is>
          <t>Varsity exam schedule</t>
        </is>
      </c>
      <c r="I38" s="198" t="n">
        <v>0.5</v>
      </c>
    </row>
    <row r="39" ht="15.75" customHeight="1" s="156">
      <c r="A39" s="196" t="n">
        <v>33</v>
      </c>
      <c r="B39" s="197" t="inlineStr">
        <is>
          <t>Assessment</t>
        </is>
      </c>
      <c r="C39" s="197" t="inlineStr">
        <is>
          <t>Review on mockcall - Renu team</t>
        </is>
      </c>
      <c r="D39" s="197" t="inlineStr">
        <is>
          <t>2026-06-12</t>
        </is>
      </c>
      <c r="E39" s="197" t="inlineStr">
        <is>
          <t>—</t>
        </is>
      </c>
      <c r="F39" s="197" t="inlineStr">
        <is>
          <t>Harish Bhat</t>
        </is>
      </c>
      <c r="G39" s="197" t="inlineStr">
        <is>
          <t>Online</t>
        </is>
      </c>
      <c r="H39" s="197" t="inlineStr">
        <is>
          <t>Review on mockcall - Renu team</t>
        </is>
      </c>
      <c r="I39" s="198" t="n">
        <v>4</v>
      </c>
    </row>
    <row r="40" ht="15.75" customHeight="1" s="156">
      <c r="A40" s="196" t="n">
        <v>34</v>
      </c>
      <c r="B40" s="197" t="inlineStr">
        <is>
          <t>Assessment</t>
        </is>
      </c>
      <c r="C40" s="197" t="inlineStr">
        <is>
          <t>Managers training  Assesments discussion &amp; Preperation</t>
        </is>
      </c>
      <c r="D40" s="197" t="inlineStr">
        <is>
          <t>2026-06-15</t>
        </is>
      </c>
      <c r="E40" s="197" t="inlineStr">
        <is>
          <t>—</t>
        </is>
      </c>
      <c r="F40" s="197" t="inlineStr">
        <is>
          <t>Harish Bhat</t>
        </is>
      </c>
      <c r="G40" s="197" t="inlineStr">
        <is>
          <t>Online</t>
        </is>
      </c>
      <c r="H40" s="197" t="inlineStr">
        <is>
          <t>Managers training  Assesments discussion &amp; Preperation</t>
        </is>
      </c>
      <c r="I40" s="198" t="n">
        <v>2</v>
      </c>
    </row>
    <row r="41" ht="15.75" customHeight="1" s="156">
      <c r="A41" s="196" t="n">
        <v>35</v>
      </c>
      <c r="B41" s="197" t="inlineStr">
        <is>
          <t>Support Training</t>
        </is>
      </c>
      <c r="C41" s="197" t="inlineStr">
        <is>
          <t>Ticket's team mock ticket details preperation</t>
        </is>
      </c>
      <c r="D41" s="197" t="inlineStr">
        <is>
          <t>2026-06-15</t>
        </is>
      </c>
      <c r="E41" s="197" t="inlineStr">
        <is>
          <t>—</t>
        </is>
      </c>
      <c r="F41" s="197" t="inlineStr">
        <is>
          <t>Harish Bhat</t>
        </is>
      </c>
      <c r="G41" s="197" t="inlineStr">
        <is>
          <t>Online</t>
        </is>
      </c>
      <c r="H41" s="197" t="inlineStr">
        <is>
          <t>Ticket's team mock ticket details preperation</t>
        </is>
      </c>
      <c r="I41" s="198" t="n">
        <v>0.5</v>
      </c>
    </row>
    <row r="42" ht="15.75" customHeight="1" s="156">
      <c r="A42" s="196" t="n">
        <v>36</v>
      </c>
      <c r="B42" s="197" t="inlineStr">
        <is>
          <t>Assessment</t>
        </is>
      </c>
      <c r="C42" s="197" t="inlineStr">
        <is>
          <t>Review on Pick &amp; Speak &amp; mockcall - Renu team</t>
        </is>
      </c>
      <c r="D42" s="197" t="inlineStr">
        <is>
          <t>2026-06-16</t>
        </is>
      </c>
      <c r="E42" s="197" t="inlineStr">
        <is>
          <t>—</t>
        </is>
      </c>
      <c r="F42" s="197" t="inlineStr">
        <is>
          <t>Harish Bhat</t>
        </is>
      </c>
      <c r="G42" s="197" t="inlineStr">
        <is>
          <t>Online</t>
        </is>
      </c>
      <c r="H42" s="197" t="inlineStr">
        <is>
          <t>Review on Pick &amp; Speak &amp; mockcall - Renu team</t>
        </is>
      </c>
      <c r="I42" s="198" t="n">
        <v>3</v>
      </c>
    </row>
    <row r="43" ht="15.75" customHeight="1" s="156">
      <c r="A43" s="199" t="n">
        <v>37</v>
      </c>
      <c r="B43" s="200" t="inlineStr">
        <is>
          <t>Other</t>
        </is>
      </c>
      <c r="C43" s="200" t="inlineStr">
        <is>
          <t>Reports email schedule for Pradeep &amp; Priyanka's team</t>
        </is>
      </c>
      <c r="D43" s="200" t="inlineStr">
        <is>
          <t>2026-06-16</t>
        </is>
      </c>
      <c r="E43" s="200" t="inlineStr">
        <is>
          <t>—</t>
        </is>
      </c>
      <c r="F43" s="200" t="inlineStr">
        <is>
          <t>Harish Bhat</t>
        </is>
      </c>
      <c r="G43" s="200" t="inlineStr">
        <is>
          <t>Offline</t>
        </is>
      </c>
      <c r="H43" s="200" t="inlineStr">
        <is>
          <t>Reports email schedule for Pradeep &amp; Priyanka's team</t>
        </is>
      </c>
      <c r="I43" s="201" t="n">
        <v>1</v>
      </c>
    </row>
    <row r="44" ht="15.75" customHeight="1" s="156">
      <c r="A44" s="196" t="n">
        <v>38</v>
      </c>
      <c r="B44" s="197" t="inlineStr">
        <is>
          <t>Other</t>
        </is>
      </c>
      <c r="C44" s="197" t="inlineStr">
        <is>
          <t>Candidates Interview</t>
        </is>
      </c>
      <c r="D44" s="197" t="inlineStr">
        <is>
          <t>2026-06-17</t>
        </is>
      </c>
      <c r="E44" s="197" t="inlineStr">
        <is>
          <t>—</t>
        </is>
      </c>
      <c r="F44" s="197" t="inlineStr">
        <is>
          <t>Harish Bhat</t>
        </is>
      </c>
      <c r="G44" s="197" t="inlineStr">
        <is>
          <t>Online</t>
        </is>
      </c>
      <c r="H44" s="197" t="inlineStr">
        <is>
          <t>Candidates Interview</t>
        </is>
      </c>
      <c r="I44" s="198" t="n">
        <v>1</v>
      </c>
    </row>
    <row r="45" ht="15.75" customHeight="1" s="156">
      <c r="A45" s="196" t="n">
        <v>39</v>
      </c>
      <c r="B45" s="197" t="inlineStr">
        <is>
          <t>Support Training</t>
        </is>
      </c>
      <c r="C45" s="197" t="inlineStr">
        <is>
          <t>Managers training Assesments Preperation</t>
        </is>
      </c>
      <c r="D45" s="197" t="inlineStr">
        <is>
          <t>2026-06-16</t>
        </is>
      </c>
      <c r="E45" s="197" t="inlineStr">
        <is>
          <t>—</t>
        </is>
      </c>
      <c r="F45" s="197" t="inlineStr">
        <is>
          <t>Harish Bhat</t>
        </is>
      </c>
      <c r="G45" s="197" t="inlineStr">
        <is>
          <t>Online</t>
        </is>
      </c>
      <c r="H45" s="197" t="inlineStr">
        <is>
          <t>Managers training Assesments Preperation</t>
        </is>
      </c>
      <c r="I45" s="198" t="n">
        <v>1</v>
      </c>
    </row>
    <row r="46" ht="15.75" customHeight="1" s="156">
      <c r="A46" s="199" t="n">
        <v>40</v>
      </c>
      <c r="B46" s="200" t="inlineStr">
        <is>
          <t>Other</t>
        </is>
      </c>
      <c r="C46" s="200" t="inlineStr">
        <is>
          <t>Varsity script work</t>
        </is>
      </c>
      <c r="D46" s="200" t="inlineStr">
        <is>
          <t>2026-06-13</t>
        </is>
      </c>
      <c r="E46" s="200" t="inlineStr">
        <is>
          <t>—</t>
        </is>
      </c>
      <c r="F46" s="200" t="inlineStr">
        <is>
          <t>Harish Bhat</t>
        </is>
      </c>
      <c r="G46" s="200" t="inlineStr">
        <is>
          <t>Offline</t>
        </is>
      </c>
      <c r="H46" s="200" t="inlineStr">
        <is>
          <t>Varsity script work</t>
        </is>
      </c>
      <c r="I46" s="201" t="n">
        <v>3</v>
      </c>
    </row>
    <row r="47" ht="15.75" customHeight="1" s="156">
      <c r="A47" s="196" t="n">
        <v>41</v>
      </c>
      <c r="B47" s="197" t="inlineStr">
        <is>
          <t>Other</t>
        </is>
      </c>
      <c r="C47" s="197" t="inlineStr">
        <is>
          <t>Candidates Interview</t>
        </is>
      </c>
      <c r="D47" s="197" t="inlineStr">
        <is>
          <t>2026-06-17</t>
        </is>
      </c>
      <c r="E47" s="197" t="inlineStr">
        <is>
          <t>—</t>
        </is>
      </c>
      <c r="F47" s="197" t="inlineStr">
        <is>
          <t>Harish Bhat</t>
        </is>
      </c>
      <c r="G47" s="197" t="inlineStr">
        <is>
          <t>Online</t>
        </is>
      </c>
      <c r="H47" s="197" t="inlineStr">
        <is>
          <t>Candidates Interview</t>
        </is>
      </c>
      <c r="I47" s="198" t="n">
        <v>1</v>
      </c>
    </row>
    <row r="48" ht="15.75" customHeight="1" s="156">
      <c r="A48" s="196" t="n">
        <v>42</v>
      </c>
      <c r="B48" s="197" t="inlineStr">
        <is>
          <t>Other</t>
        </is>
      </c>
      <c r="C48" s="197" t="inlineStr">
        <is>
          <t>Candidates Interview</t>
        </is>
      </c>
      <c r="D48" s="197" t="inlineStr">
        <is>
          <t>2026-06-17</t>
        </is>
      </c>
      <c r="E48" s="197" t="inlineStr">
        <is>
          <t>—</t>
        </is>
      </c>
      <c r="F48" s="197" t="inlineStr">
        <is>
          <t>Harish Bhat</t>
        </is>
      </c>
      <c r="G48" s="197" t="inlineStr">
        <is>
          <t>Online</t>
        </is>
      </c>
      <c r="H48" s="197" t="inlineStr">
        <is>
          <t>Candidates Interview</t>
        </is>
      </c>
      <c r="I48" s="198" t="n">
        <v>1</v>
      </c>
    </row>
    <row r="49" ht="15.75" customHeight="1" s="156">
      <c r="A49" s="199" t="n">
        <v>43</v>
      </c>
      <c r="B49" s="200" t="inlineStr">
        <is>
          <t>Support Training</t>
        </is>
      </c>
      <c r="C49" s="200" t="inlineStr">
        <is>
          <t>Communicate 360- Renu's team</t>
        </is>
      </c>
      <c r="D49" s="200" t="inlineStr">
        <is>
          <t>2026-06-16</t>
        </is>
      </c>
      <c r="E49" s="200" t="inlineStr">
        <is>
          <t>—</t>
        </is>
      </c>
      <c r="F49" s="200" t="inlineStr">
        <is>
          <t>Freeda Reshma Dsouza</t>
        </is>
      </c>
      <c r="G49" s="200" t="inlineStr">
        <is>
          <t>Offline</t>
        </is>
      </c>
      <c r="H49" s="200" t="inlineStr">
        <is>
          <t>Communicate 360- Renu's team</t>
        </is>
      </c>
      <c r="I49" s="201" t="n">
        <v>2.5</v>
      </c>
    </row>
    <row r="50" ht="15.75" customHeight="1" s="156">
      <c r="A50" s="199" t="n">
        <v>44</v>
      </c>
      <c r="B50" s="200" t="inlineStr">
        <is>
          <t>Support Training</t>
        </is>
      </c>
      <c r="C50" s="200" t="inlineStr">
        <is>
          <t>Communicate 360- Renu's team</t>
        </is>
      </c>
      <c r="D50" s="200" t="inlineStr">
        <is>
          <t>2026-06-16</t>
        </is>
      </c>
      <c r="E50" s="200" t="inlineStr">
        <is>
          <t>—</t>
        </is>
      </c>
      <c r="F50" s="200" t="inlineStr">
        <is>
          <t>Freeda Reshma Dsouza</t>
        </is>
      </c>
      <c r="G50" s="200" t="inlineStr">
        <is>
          <t>Offline</t>
        </is>
      </c>
      <c r="H50" s="200" t="inlineStr">
        <is>
          <t>Communicate 360- Renu's team</t>
        </is>
      </c>
      <c r="I50" s="201" t="n">
        <v>2.5</v>
      </c>
    </row>
    <row r="51" ht="15.75" customHeight="1" s="156">
      <c r="A51" s="199" t="n">
        <v>45</v>
      </c>
      <c r="B51" s="200" t="inlineStr">
        <is>
          <t>Support Training</t>
        </is>
      </c>
      <c r="C51" s="200" t="inlineStr">
        <is>
          <t>Communicate 360- Renu's team</t>
        </is>
      </c>
      <c r="D51" s="200" t="inlineStr">
        <is>
          <t>2026-06-17</t>
        </is>
      </c>
      <c r="E51" s="200" t="inlineStr">
        <is>
          <t>—</t>
        </is>
      </c>
      <c r="F51" s="200" t="inlineStr">
        <is>
          <t>Freeda Reshma Dsouza</t>
        </is>
      </c>
      <c r="G51" s="200" t="inlineStr">
        <is>
          <t>Offline</t>
        </is>
      </c>
      <c r="H51" s="200" t="inlineStr">
        <is>
          <t>Communicate 360- Renu's team</t>
        </is>
      </c>
      <c r="I51" s="201" t="n">
        <v>2.5</v>
      </c>
    </row>
    <row r="52" ht="15.75" customHeight="1" s="156">
      <c r="A52" s="199" t="n">
        <v>46</v>
      </c>
      <c r="B52" s="200" t="inlineStr">
        <is>
          <t>Support Training</t>
        </is>
      </c>
      <c r="C52" s="200" t="inlineStr">
        <is>
          <t>Communicate 360- Renu's team</t>
        </is>
      </c>
      <c r="D52" s="200" t="inlineStr">
        <is>
          <t>2026-06-17</t>
        </is>
      </c>
      <c r="E52" s="200" t="inlineStr">
        <is>
          <t>—</t>
        </is>
      </c>
      <c r="F52" s="200" t="inlineStr">
        <is>
          <t>Freeda Reshma Dsouza</t>
        </is>
      </c>
      <c r="G52" s="200" t="inlineStr">
        <is>
          <t>Offline</t>
        </is>
      </c>
      <c r="H52" s="200" t="inlineStr">
        <is>
          <t>Communicate 360- Renu's team</t>
        </is>
      </c>
      <c r="I52" s="201" t="n">
        <v>2.5</v>
      </c>
    </row>
    <row r="53" ht="15.75" customHeight="1" s="156">
      <c r="A53" s="199" t="n">
        <v>47</v>
      </c>
      <c r="B53" s="200" t="inlineStr">
        <is>
          <t>Support Training</t>
        </is>
      </c>
      <c r="C53" s="200" t="inlineStr">
        <is>
          <t>Communicate 360- Renu's team</t>
        </is>
      </c>
      <c r="D53" s="200" t="inlineStr">
        <is>
          <t>2026-06-18</t>
        </is>
      </c>
      <c r="E53" s="200" t="inlineStr">
        <is>
          <t>—</t>
        </is>
      </c>
      <c r="F53" s="200" t="inlineStr">
        <is>
          <t>Freeda Reshma Dsouza</t>
        </is>
      </c>
      <c r="G53" s="200" t="inlineStr">
        <is>
          <t>Offline</t>
        </is>
      </c>
      <c r="H53" s="200" t="inlineStr">
        <is>
          <t>Communicate 360- Renu's team</t>
        </is>
      </c>
      <c r="I53" s="201" t="n">
        <v>2.5</v>
      </c>
    </row>
    <row r="54" ht="15.75" customHeight="1" s="156">
      <c r="A54" s="199" t="n">
        <v>48</v>
      </c>
      <c r="B54" s="200" t="inlineStr">
        <is>
          <t>Support Training</t>
        </is>
      </c>
      <c r="C54" s="200" t="inlineStr">
        <is>
          <t>Communicate 360- Renu's team</t>
        </is>
      </c>
      <c r="D54" s="200" t="inlineStr">
        <is>
          <t>2026-06-18</t>
        </is>
      </c>
      <c r="E54" s="200" t="inlineStr">
        <is>
          <t>—</t>
        </is>
      </c>
      <c r="F54" s="200" t="inlineStr">
        <is>
          <t>Freeda Reshma Dsouza</t>
        </is>
      </c>
      <c r="G54" s="200" t="inlineStr">
        <is>
          <t>Offline</t>
        </is>
      </c>
      <c r="H54" s="200" t="inlineStr">
        <is>
          <t>Communicate 360- Renu's team</t>
        </is>
      </c>
      <c r="I54" s="201" t="n">
        <v>2.5</v>
      </c>
    </row>
    <row r="55" ht="15.75" customHeight="1" s="156">
      <c r="A55" s="199" t="n">
        <v>49</v>
      </c>
      <c r="B55" s="200" t="inlineStr">
        <is>
          <t>Support Training</t>
        </is>
      </c>
      <c r="C55" s="200" t="inlineStr">
        <is>
          <t>Communicate 360- Renu's team</t>
        </is>
      </c>
      <c r="D55" s="200" t="inlineStr">
        <is>
          <t>2026-06-19</t>
        </is>
      </c>
      <c r="E55" s="200" t="inlineStr">
        <is>
          <t>—</t>
        </is>
      </c>
      <c r="F55" s="200" t="inlineStr">
        <is>
          <t>Freeda Reshma Dsouza</t>
        </is>
      </c>
      <c r="G55" s="200" t="inlineStr">
        <is>
          <t>Offline</t>
        </is>
      </c>
      <c r="H55" s="200" t="inlineStr">
        <is>
          <t>Communicate 360- Renu's team</t>
        </is>
      </c>
      <c r="I55" s="201" t="n">
        <v>2.75</v>
      </c>
    </row>
    <row r="56" ht="15.75" customHeight="1" s="156">
      <c r="A56" s="199" t="n">
        <v>50</v>
      </c>
      <c r="B56" s="200" t="inlineStr">
        <is>
          <t>Support Training</t>
        </is>
      </c>
      <c r="C56" s="200" t="inlineStr">
        <is>
          <t>Communicate 360- Renu's team</t>
        </is>
      </c>
      <c r="D56" s="200" t="inlineStr">
        <is>
          <t>2026-06-19</t>
        </is>
      </c>
      <c r="E56" s="200" t="inlineStr">
        <is>
          <t>—</t>
        </is>
      </c>
      <c r="F56" s="200" t="inlineStr">
        <is>
          <t>Freeda Reshma Dsouza</t>
        </is>
      </c>
      <c r="G56" s="200" t="inlineStr">
        <is>
          <t>Offline</t>
        </is>
      </c>
      <c r="H56" s="200" t="inlineStr">
        <is>
          <t>Communicate 360- Renu's team</t>
        </is>
      </c>
      <c r="I56" s="201" t="n">
        <v>2.75</v>
      </c>
    </row>
    <row r="57" ht="15.75" customHeight="1" s="156">
      <c r="A57" s="199" t="n">
        <v>51</v>
      </c>
      <c r="B57" s="200" t="inlineStr">
        <is>
          <t>Support Training</t>
        </is>
      </c>
      <c r="C57" s="200" t="inlineStr">
        <is>
          <t>Tickets team Communicate 360 training</t>
        </is>
      </c>
      <c r="D57" s="200" t="inlineStr">
        <is>
          <t>2026-06-29</t>
        </is>
      </c>
      <c r="E57" s="200" t="inlineStr">
        <is>
          <t>—</t>
        </is>
      </c>
      <c r="F57" s="200" t="inlineStr">
        <is>
          <t>Freeda Reshma Dsouza</t>
        </is>
      </c>
      <c r="G57" s="200" t="inlineStr">
        <is>
          <t>Offline</t>
        </is>
      </c>
      <c r="H57" s="200" t="inlineStr">
        <is>
          <t>Tickets team Communicate 360 training</t>
        </is>
      </c>
      <c r="I57" s="201" t="n">
        <v>2.5</v>
      </c>
    </row>
    <row r="58" ht="15.75" customHeight="1" s="156">
      <c r="A58" s="199" t="n">
        <v>52</v>
      </c>
      <c r="B58" s="200" t="inlineStr">
        <is>
          <t>Support Training</t>
        </is>
      </c>
      <c r="C58" s="200" t="inlineStr">
        <is>
          <t>Tickets team communicate 360 training</t>
        </is>
      </c>
      <c r="D58" s="200" t="inlineStr">
        <is>
          <t>2026-06-30</t>
        </is>
      </c>
      <c r="E58" s="200" t="inlineStr">
        <is>
          <t>—</t>
        </is>
      </c>
      <c r="F58" s="200" t="inlineStr">
        <is>
          <t>Freeda Reshma Dsouza</t>
        </is>
      </c>
      <c r="G58" s="200" t="inlineStr">
        <is>
          <t>Offline</t>
        </is>
      </c>
      <c r="H58" s="200" t="inlineStr">
        <is>
          <t>Tickets team communicate 360 training</t>
        </is>
      </c>
      <c r="I58" s="201" t="n">
        <v>2.5</v>
      </c>
    </row>
    <row r="59" ht="15.75" customHeight="1" s="156">
      <c r="A59" s="199" t="n">
        <v>53</v>
      </c>
      <c r="B59" s="200" t="inlineStr">
        <is>
          <t>Support Training</t>
        </is>
      </c>
      <c r="C59" s="200" t="inlineStr">
        <is>
          <t>Tickets team communicate 360 training</t>
        </is>
      </c>
      <c r="D59" s="200" t="inlineStr">
        <is>
          <t>2026-06-30</t>
        </is>
      </c>
      <c r="E59" s="200" t="inlineStr">
        <is>
          <t>—</t>
        </is>
      </c>
      <c r="F59" s="200" t="inlineStr">
        <is>
          <t>Freeda Reshma Dsouza</t>
        </is>
      </c>
      <c r="G59" s="200" t="inlineStr">
        <is>
          <t>Offline</t>
        </is>
      </c>
      <c r="H59" s="200" t="inlineStr">
        <is>
          <t>Tickets team communicate 360 training</t>
        </is>
      </c>
      <c r="I59" s="201" t="n">
        <v>2.5</v>
      </c>
    </row>
    <row r="60" ht="15.75" customHeight="1" s="156">
      <c r="A60" s="199" t="n">
        <v>54</v>
      </c>
      <c r="B60" s="200" t="inlineStr">
        <is>
          <t>Support Training</t>
        </is>
      </c>
      <c r="C60" s="200" t="inlineStr">
        <is>
          <t>NRI Sales and Acop Training session</t>
        </is>
      </c>
      <c r="D60" s="200" t="inlineStr">
        <is>
          <t>2026-06-10</t>
        </is>
      </c>
      <c r="E60" s="200" t="inlineStr">
        <is>
          <t>—</t>
        </is>
      </c>
      <c r="F60" s="200" t="inlineStr">
        <is>
          <t>Girish A</t>
        </is>
      </c>
      <c r="G60" s="200" t="inlineStr">
        <is>
          <t>Offline</t>
        </is>
      </c>
      <c r="H60" s="200" t="inlineStr">
        <is>
          <t>NRI Sales and Acop Training session</t>
        </is>
      </c>
      <c r="I60" s="201" t="n">
        <v>6.5</v>
      </c>
    </row>
    <row r="61" ht="15.75" customHeight="1" s="156">
      <c r="A61" s="199" t="n">
        <v>55</v>
      </c>
      <c r="B61" s="200" t="inlineStr">
        <is>
          <t>Support Training</t>
        </is>
      </c>
      <c r="C61" s="200" t="inlineStr">
        <is>
          <t>NRI Sales and Acop Training session</t>
        </is>
      </c>
      <c r="D61" s="200" t="inlineStr">
        <is>
          <t>2026-06-11</t>
        </is>
      </c>
      <c r="E61" s="200" t="inlineStr">
        <is>
          <t>—</t>
        </is>
      </c>
      <c r="F61" s="200" t="inlineStr">
        <is>
          <t>Girish A</t>
        </is>
      </c>
      <c r="G61" s="200" t="inlineStr">
        <is>
          <t>Offline</t>
        </is>
      </c>
      <c r="H61" s="200" t="inlineStr">
        <is>
          <t>NRI Sales and Acop Training session</t>
        </is>
      </c>
      <c r="I61" s="201" t="n">
        <v>6.5</v>
      </c>
    </row>
    <row r="62" ht="15.75" customHeight="1" s="156">
      <c r="A62" s="199" t="n">
        <v>56</v>
      </c>
      <c r="B62" s="200" t="inlineStr">
        <is>
          <t>Support Training</t>
        </is>
      </c>
      <c r="C62" s="200" t="inlineStr">
        <is>
          <t>NRI Sales and Acop Training session</t>
        </is>
      </c>
      <c r="D62" s="200" t="inlineStr">
        <is>
          <t>2026-06-12</t>
        </is>
      </c>
      <c r="E62" s="200" t="inlineStr">
        <is>
          <t>—</t>
        </is>
      </c>
      <c r="F62" s="200" t="inlineStr">
        <is>
          <t>Girish A</t>
        </is>
      </c>
      <c r="G62" s="200" t="inlineStr">
        <is>
          <t>Offline</t>
        </is>
      </c>
      <c r="H62" s="200" t="inlineStr">
        <is>
          <t>NRI Sales and Acop Training session</t>
        </is>
      </c>
      <c r="I62" s="201" t="n">
        <v>6.5</v>
      </c>
    </row>
    <row r="63" ht="15.75" customHeight="1" s="156">
      <c r="A63" s="199" t="n">
        <v>57</v>
      </c>
      <c r="B63" s="200" t="inlineStr">
        <is>
          <t>Support Training</t>
        </is>
      </c>
      <c r="C63" s="200" t="inlineStr">
        <is>
          <t>NRI Sales and Acop Training session</t>
        </is>
      </c>
      <c r="D63" s="200" t="inlineStr">
        <is>
          <t>2026-06-15</t>
        </is>
      </c>
      <c r="E63" s="200" t="inlineStr">
        <is>
          <t>—</t>
        </is>
      </c>
      <c r="F63" s="200" t="inlineStr">
        <is>
          <t>Girish A</t>
        </is>
      </c>
      <c r="G63" s="200" t="inlineStr">
        <is>
          <t>Offline</t>
        </is>
      </c>
      <c r="H63" s="200" t="inlineStr">
        <is>
          <t>NRI Sales and Acop Training session</t>
        </is>
      </c>
      <c r="I63" s="201" t="n">
        <v>6.5</v>
      </c>
    </row>
    <row r="64" ht="15.75" customHeight="1" s="156">
      <c r="A64" s="199" t="n">
        <v>58</v>
      </c>
      <c r="B64" s="200" t="inlineStr">
        <is>
          <t>Support Training</t>
        </is>
      </c>
      <c r="C64" s="200" t="inlineStr">
        <is>
          <t>NRI Sales and Acop Training session</t>
        </is>
      </c>
      <c r="D64" s="200" t="inlineStr">
        <is>
          <t>2026-06-16</t>
        </is>
      </c>
      <c r="E64" s="200" t="inlineStr">
        <is>
          <t>—</t>
        </is>
      </c>
      <c r="F64" s="200" t="inlineStr">
        <is>
          <t>Girish A</t>
        </is>
      </c>
      <c r="G64" s="200" t="inlineStr">
        <is>
          <t>Offline</t>
        </is>
      </c>
      <c r="H64" s="200" t="inlineStr">
        <is>
          <t>NRI Sales and Acop Training session</t>
        </is>
      </c>
      <c r="I64" s="201" t="n">
        <v>6.5</v>
      </c>
    </row>
    <row r="65" ht="15.75" customHeight="1" s="156">
      <c r="A65" s="199" t="n">
        <v>59</v>
      </c>
      <c r="B65" s="200" t="inlineStr">
        <is>
          <t>Support Training</t>
        </is>
      </c>
      <c r="C65" s="200" t="inlineStr">
        <is>
          <t>NRI Sales and Acop Training session</t>
        </is>
      </c>
      <c r="D65" s="200" t="inlineStr">
        <is>
          <t>2026-06-17</t>
        </is>
      </c>
      <c r="E65" s="200" t="inlineStr">
        <is>
          <t>—</t>
        </is>
      </c>
      <c r="F65" s="200" t="inlineStr">
        <is>
          <t>Girish A</t>
        </is>
      </c>
      <c r="G65" s="200" t="inlineStr">
        <is>
          <t>Offline</t>
        </is>
      </c>
      <c r="H65" s="200" t="inlineStr">
        <is>
          <t>NRI Sales and Acop Training session</t>
        </is>
      </c>
      <c r="I65" s="201" t="n">
        <v>6.5</v>
      </c>
    </row>
    <row r="66" ht="15.75" customHeight="1" s="156">
      <c r="A66" s="199" t="n">
        <v>60</v>
      </c>
      <c r="B66" s="200" t="inlineStr">
        <is>
          <t>Support Training</t>
        </is>
      </c>
      <c r="C66" s="200" t="inlineStr">
        <is>
          <t>NRI Sales and Acop Training session</t>
        </is>
      </c>
      <c r="D66" s="200" t="inlineStr">
        <is>
          <t>2026-06-18</t>
        </is>
      </c>
      <c r="E66" s="200" t="inlineStr">
        <is>
          <t>—</t>
        </is>
      </c>
      <c r="F66" s="200" t="inlineStr">
        <is>
          <t>Girish A</t>
        </is>
      </c>
      <c r="G66" s="200" t="inlineStr">
        <is>
          <t>Offline</t>
        </is>
      </c>
      <c r="H66" s="200" t="inlineStr">
        <is>
          <t>NRI Sales and Acop Training session</t>
        </is>
      </c>
      <c r="I66" s="201" t="n">
        <v>6.5</v>
      </c>
    </row>
    <row r="67" ht="15.75" customHeight="1" s="156">
      <c r="A67" s="199" t="n">
        <v>61</v>
      </c>
      <c r="B67" s="200" t="inlineStr">
        <is>
          <t>Support Training</t>
        </is>
      </c>
      <c r="C67" s="200" t="inlineStr">
        <is>
          <t>NRI Sales and Acop Training session</t>
        </is>
      </c>
      <c r="D67" s="200" t="inlineStr">
        <is>
          <t>2026-06-19</t>
        </is>
      </c>
      <c r="E67" s="200" t="inlineStr">
        <is>
          <t>—</t>
        </is>
      </c>
      <c r="F67" s="200" t="inlineStr">
        <is>
          <t>Girish A</t>
        </is>
      </c>
      <c r="G67" s="200" t="inlineStr">
        <is>
          <t>Offline</t>
        </is>
      </c>
      <c r="H67" s="200" t="inlineStr">
        <is>
          <t>NRI Sales and Acop Training session</t>
        </is>
      </c>
      <c r="I67" s="201" t="n">
        <v>6.5</v>
      </c>
    </row>
    <row r="68" ht="15.75" customHeight="1" s="156">
      <c r="A68" s="199" t="n">
        <v>62</v>
      </c>
      <c r="B68" s="200" t="inlineStr">
        <is>
          <t>Other</t>
        </is>
      </c>
      <c r="C68" s="200" t="inlineStr">
        <is>
          <t>NRI Sales and Acop Question paper preparation</t>
        </is>
      </c>
      <c r="D68" s="200" t="inlineStr">
        <is>
          <t>2026-06-20</t>
        </is>
      </c>
      <c r="E68" s="200" t="inlineStr">
        <is>
          <t>—</t>
        </is>
      </c>
      <c r="F68" s="200" t="inlineStr">
        <is>
          <t>Girish A</t>
        </is>
      </c>
      <c r="G68" s="200" t="inlineStr">
        <is>
          <t>Offline</t>
        </is>
      </c>
      <c r="H68" s="200" t="inlineStr">
        <is>
          <t>NRI Sales and Acop Question paper preparation</t>
        </is>
      </c>
      <c r="I68" s="201" t="n">
        <v>2.5</v>
      </c>
    </row>
    <row r="69" ht="15.75" customHeight="1" s="156">
      <c r="A69" s="196" t="n">
        <v>63</v>
      </c>
      <c r="B69" s="197" t="inlineStr">
        <is>
          <t>Other</t>
        </is>
      </c>
      <c r="C69" s="197" t="inlineStr">
        <is>
          <t>LMS Tool testing and conducting Exam</t>
        </is>
      </c>
      <c r="D69" s="197" t="inlineStr">
        <is>
          <t>2026-06-25</t>
        </is>
      </c>
      <c r="E69" s="197" t="inlineStr">
        <is>
          <t>—</t>
        </is>
      </c>
      <c r="F69" s="197" t="inlineStr">
        <is>
          <t>Girish A</t>
        </is>
      </c>
      <c r="G69" s="197" t="inlineStr">
        <is>
          <t>Online</t>
        </is>
      </c>
      <c r="H69" s="197" t="inlineStr">
        <is>
          <t>LMS Tool testing and conducting Exam</t>
        </is>
      </c>
      <c r="I69" s="198" t="n">
        <v>4</v>
      </c>
    </row>
    <row r="70" ht="15.75" customHeight="1" s="156">
      <c r="A70" s="199" t="n">
        <v>64</v>
      </c>
      <c r="B70" s="200" t="inlineStr">
        <is>
          <t>Support Training</t>
        </is>
      </c>
      <c r="C70" s="200" t="inlineStr">
        <is>
          <t>NRI Sales and Acop Training session</t>
        </is>
      </c>
      <c r="D70" s="200" t="inlineStr">
        <is>
          <t>2026-06-22</t>
        </is>
      </c>
      <c r="E70" s="200" t="inlineStr">
        <is>
          <t>—</t>
        </is>
      </c>
      <c r="F70" s="200" t="inlineStr">
        <is>
          <t>Girish A</t>
        </is>
      </c>
      <c r="G70" s="200" t="inlineStr">
        <is>
          <t>Offline</t>
        </is>
      </c>
      <c r="H70" s="200" t="inlineStr">
        <is>
          <t>NRI Sales and Acop Training session</t>
        </is>
      </c>
      <c r="I70" s="201" t="n">
        <v>6.5</v>
      </c>
    </row>
    <row r="71" ht="15.75" customHeight="1" s="156">
      <c r="A71" s="199" t="n">
        <v>65</v>
      </c>
      <c r="B71" s="200" t="inlineStr">
        <is>
          <t>Support Training</t>
        </is>
      </c>
      <c r="C71" s="200" t="inlineStr">
        <is>
          <t>NRI Sales and Acop Training session</t>
        </is>
      </c>
      <c r="D71" s="200" t="inlineStr">
        <is>
          <t>2026-06-23</t>
        </is>
      </c>
      <c r="E71" s="200" t="inlineStr">
        <is>
          <t>—</t>
        </is>
      </c>
      <c r="F71" s="200" t="inlineStr">
        <is>
          <t>Girish A</t>
        </is>
      </c>
      <c r="G71" s="200" t="inlineStr">
        <is>
          <t>Offline</t>
        </is>
      </c>
      <c r="H71" s="200" t="inlineStr">
        <is>
          <t>NRI Sales and Acop Training session</t>
        </is>
      </c>
      <c r="I71" s="201" t="n">
        <v>6.5</v>
      </c>
    </row>
    <row r="72" ht="15.75" customHeight="1" s="156">
      <c r="A72" s="196" t="n">
        <v>66</v>
      </c>
      <c r="B72" s="197" t="inlineStr">
        <is>
          <t>Support Training</t>
        </is>
      </c>
      <c r="C72" s="197" t="inlineStr">
        <is>
          <t>NRI Sales and Acop Training session (Soft skills)</t>
        </is>
      </c>
      <c r="D72" s="197" t="inlineStr">
        <is>
          <t>2026-06-24</t>
        </is>
      </c>
      <c r="E72" s="197" t="inlineStr">
        <is>
          <t>—</t>
        </is>
      </c>
      <c r="F72" s="197" t="inlineStr">
        <is>
          <t>Girish A</t>
        </is>
      </c>
      <c r="G72" s="197" t="inlineStr">
        <is>
          <t>Online</t>
        </is>
      </c>
      <c r="H72" s="197" t="inlineStr">
        <is>
          <t>NRI Sales and Acop Training session (Soft skills)</t>
        </is>
      </c>
      <c r="I72" s="198" t="n">
        <v>5</v>
      </c>
    </row>
    <row r="73" ht="15.75" customHeight="1" s="156">
      <c r="A73" s="196" t="n">
        <v>67</v>
      </c>
      <c r="B73" s="197" t="inlineStr">
        <is>
          <t>Support Training</t>
        </is>
      </c>
      <c r="C73" s="197" t="inlineStr">
        <is>
          <t>NRI Sales and Acop OJT</t>
        </is>
      </c>
      <c r="D73" s="197" t="inlineStr">
        <is>
          <t>2026-06-30</t>
        </is>
      </c>
      <c r="E73" s="197" t="inlineStr">
        <is>
          <t>—</t>
        </is>
      </c>
      <c r="F73" s="197" t="inlineStr">
        <is>
          <t>Girish A</t>
        </is>
      </c>
      <c r="G73" s="197" t="inlineStr">
        <is>
          <t>Online</t>
        </is>
      </c>
      <c r="H73" s="197" t="inlineStr">
        <is>
          <t>NRI Sales and Acop OJT</t>
        </is>
      </c>
      <c r="I73" s="198" t="n">
        <v>2</v>
      </c>
    </row>
    <row r="74" ht="15.75" customHeight="1" s="156">
      <c r="A74" s="199" t="n">
        <v>68</v>
      </c>
      <c r="B74" s="200" t="inlineStr">
        <is>
          <t>Support Training</t>
        </is>
      </c>
      <c r="C74" s="200" t="inlineStr">
        <is>
          <t>Soft Skills training - New Hire - NRI sales</t>
        </is>
      </c>
      <c r="D74" s="200" t="inlineStr">
        <is>
          <t>2026-06-24</t>
        </is>
      </c>
      <c r="E74" s="200" t="inlineStr">
        <is>
          <t>—</t>
        </is>
      </c>
      <c r="F74" s="200" t="inlineStr">
        <is>
          <t>Freeda Reshma Dsouza</t>
        </is>
      </c>
      <c r="G74" s="200" t="inlineStr">
        <is>
          <t>Offline</t>
        </is>
      </c>
      <c r="H74" s="200" t="inlineStr">
        <is>
          <t>Soft Skills training - New Hire - NRI sales</t>
        </is>
      </c>
      <c r="I74" s="201" t="n">
        <v>4.5</v>
      </c>
    </row>
    <row r="75" ht="15.75" customHeight="1" s="156">
      <c r="A75" s="196" t="n">
        <v>69</v>
      </c>
      <c r="B75" s="197" t="inlineStr">
        <is>
          <t>Other</t>
        </is>
      </c>
      <c r="C75" s="197" t="inlineStr">
        <is>
          <t>Candidates Interview</t>
        </is>
      </c>
      <c r="D75" s="197" t="inlineStr">
        <is>
          <t>2026-06-25</t>
        </is>
      </c>
      <c r="E75" s="197" t="inlineStr">
        <is>
          <t>—</t>
        </is>
      </c>
      <c r="F75" s="197" t="inlineStr">
        <is>
          <t>Harish Bhat</t>
        </is>
      </c>
      <c r="G75" s="197" t="inlineStr">
        <is>
          <t>Online</t>
        </is>
      </c>
      <c r="H75" s="197" t="inlineStr">
        <is>
          <t>Candidates Interview</t>
        </is>
      </c>
      <c r="I75" s="198" t="n">
        <v>1</v>
      </c>
    </row>
    <row r="76" ht="15.75" customHeight="1" s="156">
      <c r="A76" s="196" t="n">
        <v>70</v>
      </c>
      <c r="B76" s="197" t="inlineStr">
        <is>
          <t>Other</t>
        </is>
      </c>
      <c r="C76" s="197" t="inlineStr">
        <is>
          <t>Candidates Interview</t>
        </is>
      </c>
      <c r="D76" s="197" t="inlineStr">
        <is>
          <t>2026-06-19</t>
        </is>
      </c>
      <c r="E76" s="197" t="inlineStr">
        <is>
          <t>—</t>
        </is>
      </c>
      <c r="F76" s="197" t="inlineStr">
        <is>
          <t>Harish Bhat</t>
        </is>
      </c>
      <c r="G76" s="197" t="inlineStr">
        <is>
          <t>Online</t>
        </is>
      </c>
      <c r="H76" s="197" t="inlineStr">
        <is>
          <t>Candidates Interview</t>
        </is>
      </c>
      <c r="I76" s="198" t="n">
        <v>1</v>
      </c>
    </row>
    <row r="77" ht="15.75" customHeight="1" s="156">
      <c r="A77" s="196" t="n">
        <v>71</v>
      </c>
      <c r="B77" s="197" t="inlineStr">
        <is>
          <t>Assessment</t>
        </is>
      </c>
      <c r="C77" s="197" t="inlineStr">
        <is>
          <t>Review on Pick &amp; Speak &amp; mockcall - Renu team</t>
        </is>
      </c>
      <c r="D77" s="197" t="inlineStr">
        <is>
          <t>2026-06-18</t>
        </is>
      </c>
      <c r="E77" s="197" t="inlineStr">
        <is>
          <t>—</t>
        </is>
      </c>
      <c r="F77" s="197" t="inlineStr">
        <is>
          <t>Harish Bhat</t>
        </is>
      </c>
      <c r="G77" s="197" t="inlineStr">
        <is>
          <t>Online</t>
        </is>
      </c>
      <c r="H77" s="197" t="inlineStr">
        <is>
          <t>Review on Pick &amp; Speak &amp; mockcall - Renu team</t>
        </is>
      </c>
      <c r="I77" s="198" t="n">
        <v>3</v>
      </c>
    </row>
    <row r="78" ht="15.75" customHeight="1" s="156">
      <c r="A78" s="196" t="n">
        <v>72</v>
      </c>
      <c r="B78" s="197" t="inlineStr">
        <is>
          <t>Support Training</t>
        </is>
      </c>
      <c r="C78" s="197" t="inlineStr">
        <is>
          <t>Libredesk Demo</t>
        </is>
      </c>
      <c r="D78" s="197" t="inlineStr">
        <is>
          <t>2026-06-30</t>
        </is>
      </c>
      <c r="E78" s="197" t="inlineStr">
        <is>
          <t>—</t>
        </is>
      </c>
      <c r="F78" s="197" t="inlineStr">
        <is>
          <t>Harish Bhat</t>
        </is>
      </c>
      <c r="G78" s="197" t="inlineStr">
        <is>
          <t>Online</t>
        </is>
      </c>
      <c r="H78" s="197" t="inlineStr">
        <is>
          <t>Libredesk Demo</t>
        </is>
      </c>
      <c r="I78" s="198" t="n">
        <v>1</v>
      </c>
    </row>
    <row r="79" ht="15.75" customHeight="1" s="156">
      <c r="A79" s="196" t="n">
        <v>73</v>
      </c>
      <c r="B79" s="197" t="inlineStr">
        <is>
          <t>Support Training</t>
        </is>
      </c>
      <c r="C79" s="197" t="inlineStr">
        <is>
          <t>Libredesk session preperation</t>
        </is>
      </c>
      <c r="D79" s="197" t="inlineStr">
        <is>
          <t>2026-06-30</t>
        </is>
      </c>
      <c r="E79" s="197" t="inlineStr">
        <is>
          <t>—</t>
        </is>
      </c>
      <c r="F79" s="197" t="inlineStr">
        <is>
          <t>Harish Bhat</t>
        </is>
      </c>
      <c r="G79" s="197" t="inlineStr">
        <is>
          <t>Online</t>
        </is>
      </c>
      <c r="H79" s="197" t="inlineStr">
        <is>
          <t>Libredesk session preperation</t>
        </is>
      </c>
      <c r="I79" s="198" t="n">
        <v>2</v>
      </c>
    </row>
    <row r="80" ht="15.75" customHeight="1" s="156">
      <c r="A80" s="196" t="n">
        <v>74</v>
      </c>
      <c r="B80" s="197" t="inlineStr">
        <is>
          <t>Support Training</t>
        </is>
      </c>
      <c r="C80" s="197" t="inlineStr">
        <is>
          <t>NRI Sales and Accop OJT</t>
        </is>
      </c>
      <c r="D80" s="197" t="inlineStr">
        <is>
          <t>2026-06-30</t>
        </is>
      </c>
      <c r="E80" s="197" t="inlineStr">
        <is>
          <t>—</t>
        </is>
      </c>
      <c r="F80" s="197" t="inlineStr">
        <is>
          <t>Harish Bhat</t>
        </is>
      </c>
      <c r="G80" s="197" t="inlineStr">
        <is>
          <t>Online</t>
        </is>
      </c>
      <c r="H80" s="197" t="inlineStr">
        <is>
          <t>NRI Sales and Accop OJT</t>
        </is>
      </c>
      <c r="I80" s="198" t="n">
        <v>2</v>
      </c>
    </row>
    <row r="81" ht="15.75" customHeight="1" s="156">
      <c r="A81" s="196" t="n">
        <v>75</v>
      </c>
      <c r="B81" s="197" t="inlineStr">
        <is>
          <t>Other</t>
        </is>
      </c>
      <c r="C81" s="197" t="inlineStr">
        <is>
          <t>Managers &amp; NRI Assesments discussion</t>
        </is>
      </c>
      <c r="D81" s="197" t="inlineStr">
        <is>
          <t>2026-06-29</t>
        </is>
      </c>
      <c r="E81" s="197" t="inlineStr">
        <is>
          <t>—</t>
        </is>
      </c>
      <c r="F81" s="197" t="inlineStr">
        <is>
          <t>Harish Bhat</t>
        </is>
      </c>
      <c r="G81" s="197" t="inlineStr">
        <is>
          <t>Online</t>
        </is>
      </c>
      <c r="H81" s="197" t="inlineStr">
        <is>
          <t>Managers &amp; NRI Assesments discussion</t>
        </is>
      </c>
      <c r="I81" s="198" t="n">
        <v>1</v>
      </c>
    </row>
    <row r="82" ht="15.75" customHeight="1" s="156">
      <c r="A82" s="196" t="n">
        <v>76</v>
      </c>
      <c r="B82" s="197" t="inlineStr">
        <is>
          <t>Other</t>
        </is>
      </c>
      <c r="C82" s="197" t="inlineStr">
        <is>
          <t>lms tool testing</t>
        </is>
      </c>
      <c r="D82" s="197" t="inlineStr">
        <is>
          <t>2026-06-25</t>
        </is>
      </c>
      <c r="E82" s="197" t="inlineStr">
        <is>
          <t>—</t>
        </is>
      </c>
      <c r="F82" s="197" t="inlineStr">
        <is>
          <t>Harish Bhat</t>
        </is>
      </c>
      <c r="G82" s="197" t="inlineStr">
        <is>
          <t>Online</t>
        </is>
      </c>
      <c r="H82" s="197" t="inlineStr">
        <is>
          <t>lms tool testing</t>
        </is>
      </c>
      <c r="I82" s="198" t="n">
        <v>4</v>
      </c>
    </row>
    <row r="83" ht="15.75" customHeight="1" s="156">
      <c r="A83" s="196" t="n">
        <v>77</v>
      </c>
      <c r="B83" s="197" t="inlineStr">
        <is>
          <t>Other</t>
        </is>
      </c>
      <c r="C83" s="197" t="inlineStr">
        <is>
          <t>lms tool testing</t>
        </is>
      </c>
      <c r="D83" s="197" t="inlineStr">
        <is>
          <t>2026-06-24</t>
        </is>
      </c>
      <c r="E83" s="197" t="inlineStr">
        <is>
          <t>—</t>
        </is>
      </c>
      <c r="F83" s="197" t="inlineStr">
        <is>
          <t>Harish Bhat</t>
        </is>
      </c>
      <c r="G83" s="197" t="inlineStr">
        <is>
          <t>Online</t>
        </is>
      </c>
      <c r="H83" s="197" t="inlineStr">
        <is>
          <t>lms tool testing</t>
        </is>
      </c>
      <c r="I83" s="198" t="n">
        <v>4</v>
      </c>
    </row>
    <row r="84" ht="15.75" customHeight="1" s="156">
      <c r="A84" s="196" t="n">
        <v>78</v>
      </c>
      <c r="B84" s="197" t="inlineStr">
        <is>
          <t>Other</t>
        </is>
      </c>
      <c r="C84" s="197" t="inlineStr">
        <is>
          <t>lms tool testing</t>
        </is>
      </c>
      <c r="D84" s="197" t="inlineStr">
        <is>
          <t>2026-06-23</t>
        </is>
      </c>
      <c r="E84" s="197" t="inlineStr">
        <is>
          <t>—</t>
        </is>
      </c>
      <c r="F84" s="197" t="inlineStr">
        <is>
          <t>Harish Bhat</t>
        </is>
      </c>
      <c r="G84" s="197" t="inlineStr">
        <is>
          <t>Online</t>
        </is>
      </c>
      <c r="H84" s="197" t="inlineStr">
        <is>
          <t>lms tool testing</t>
        </is>
      </c>
      <c r="I84" s="198" t="n">
        <v>4</v>
      </c>
    </row>
    <row r="85" ht="15.75" customHeight="1" s="156">
      <c r="A85" s="196" t="n">
        <v>79</v>
      </c>
      <c r="B85" s="197" t="inlineStr">
        <is>
          <t>Other</t>
        </is>
      </c>
      <c r="C85" s="197" t="inlineStr">
        <is>
          <t>lms tool testing</t>
        </is>
      </c>
      <c r="D85" s="197" t="inlineStr">
        <is>
          <t>2026-06-22</t>
        </is>
      </c>
      <c r="E85" s="197" t="inlineStr">
        <is>
          <t>—</t>
        </is>
      </c>
      <c r="F85" s="197" t="inlineStr">
        <is>
          <t>Harish Bhat</t>
        </is>
      </c>
      <c r="G85" s="197" t="inlineStr">
        <is>
          <t>Online</t>
        </is>
      </c>
      <c r="H85" s="197" t="inlineStr">
        <is>
          <t>lms tool testing</t>
        </is>
      </c>
      <c r="I85" s="198" t="n">
        <v>4</v>
      </c>
    </row>
    <row r="86" ht="15.75" customHeight="1" s="156">
      <c r="A86" s="196" t="n">
        <v>80</v>
      </c>
      <c r="B86" s="197" t="inlineStr">
        <is>
          <t>Other</t>
        </is>
      </c>
      <c r="C86" s="197" t="inlineStr">
        <is>
          <t>varsity tickets</t>
        </is>
      </c>
      <c r="D86" s="197" t="inlineStr">
        <is>
          <t>2026-06-12</t>
        </is>
      </c>
      <c r="E86" s="197" t="inlineStr">
        <is>
          <t>—</t>
        </is>
      </c>
      <c r="F86" s="197" t="inlineStr">
        <is>
          <t>Harish Bhat</t>
        </is>
      </c>
      <c r="G86" s="197" t="inlineStr">
        <is>
          <t>Online</t>
        </is>
      </c>
      <c r="H86" s="197" t="inlineStr">
        <is>
          <t>varsity tickets</t>
        </is>
      </c>
      <c r="I86" s="198" t="n">
        <v>0.25</v>
      </c>
    </row>
    <row r="87" ht="15.75" customHeight="1" s="156">
      <c r="A87" s="196" t="n">
        <v>81</v>
      </c>
      <c r="B87" s="197" t="inlineStr">
        <is>
          <t>Other</t>
        </is>
      </c>
      <c r="C87" s="197" t="inlineStr">
        <is>
          <t>varsity tickets</t>
        </is>
      </c>
      <c r="D87" s="197" t="inlineStr">
        <is>
          <t>2026-06-15</t>
        </is>
      </c>
      <c r="E87" s="197" t="inlineStr">
        <is>
          <t>—</t>
        </is>
      </c>
      <c r="F87" s="197" t="inlineStr">
        <is>
          <t>Harish Bhat</t>
        </is>
      </c>
      <c r="G87" s="197" t="inlineStr">
        <is>
          <t>Online</t>
        </is>
      </c>
      <c r="H87" s="197" t="inlineStr">
        <is>
          <t>varsity tickets</t>
        </is>
      </c>
      <c r="I87" s="198" t="n">
        <v>0.25</v>
      </c>
    </row>
    <row r="88" ht="15.75" customHeight="1" s="156">
      <c r="A88" s="196" t="n">
        <v>82</v>
      </c>
      <c r="B88" s="197" t="inlineStr">
        <is>
          <t>Other</t>
        </is>
      </c>
      <c r="C88" s="197" t="inlineStr">
        <is>
          <t>varsity tickets</t>
        </is>
      </c>
      <c r="D88" s="197" t="inlineStr">
        <is>
          <t>2026-06-16</t>
        </is>
      </c>
      <c r="E88" s="197" t="inlineStr">
        <is>
          <t>—</t>
        </is>
      </c>
      <c r="F88" s="197" t="inlineStr">
        <is>
          <t>Harish Bhat</t>
        </is>
      </c>
      <c r="G88" s="197" t="inlineStr">
        <is>
          <t>Online</t>
        </is>
      </c>
      <c r="H88" s="197" t="inlineStr">
        <is>
          <t>varsity tickets</t>
        </is>
      </c>
      <c r="I88" s="198" t="n">
        <v>0.25</v>
      </c>
    </row>
    <row r="89" ht="15.75" customHeight="1" s="156">
      <c r="A89" s="196" t="n">
        <v>83</v>
      </c>
      <c r="B89" s="197" t="inlineStr">
        <is>
          <t>Other</t>
        </is>
      </c>
      <c r="C89" s="197" t="inlineStr">
        <is>
          <t>varsity tickets</t>
        </is>
      </c>
      <c r="D89" s="197" t="inlineStr">
        <is>
          <t>2026-06-17</t>
        </is>
      </c>
      <c r="E89" s="197" t="inlineStr">
        <is>
          <t>—</t>
        </is>
      </c>
      <c r="F89" s="197" t="inlineStr">
        <is>
          <t>Harish Bhat</t>
        </is>
      </c>
      <c r="G89" s="197" t="inlineStr">
        <is>
          <t>Online</t>
        </is>
      </c>
      <c r="H89" s="197" t="inlineStr">
        <is>
          <t>varsity tickets</t>
        </is>
      </c>
      <c r="I89" s="198" t="n">
        <v>0.25</v>
      </c>
    </row>
    <row r="90" ht="15.75" customHeight="1" s="156">
      <c r="A90" s="196" t="n">
        <v>84</v>
      </c>
      <c r="B90" s="197" t="inlineStr">
        <is>
          <t>Other</t>
        </is>
      </c>
      <c r="C90" s="197" t="inlineStr">
        <is>
          <t>varsity tickets</t>
        </is>
      </c>
      <c r="D90" s="197" t="inlineStr">
        <is>
          <t>2026-06-18</t>
        </is>
      </c>
      <c r="E90" s="197" t="inlineStr">
        <is>
          <t>—</t>
        </is>
      </c>
      <c r="F90" s="197" t="inlineStr">
        <is>
          <t>Harish Bhat</t>
        </is>
      </c>
      <c r="G90" s="197" t="inlineStr">
        <is>
          <t>Online</t>
        </is>
      </c>
      <c r="H90" s="197" t="inlineStr">
        <is>
          <t>varsity tickets</t>
        </is>
      </c>
      <c r="I90" s="198" t="n">
        <v>0.25</v>
      </c>
    </row>
    <row r="91" ht="15.75" customHeight="1" s="156">
      <c r="A91" s="196" t="n">
        <v>85</v>
      </c>
      <c r="B91" s="197" t="inlineStr">
        <is>
          <t>Other</t>
        </is>
      </c>
      <c r="C91" s="197" t="inlineStr">
        <is>
          <t>varsity tickets</t>
        </is>
      </c>
      <c r="D91" s="197" t="inlineStr">
        <is>
          <t>2026-06-19</t>
        </is>
      </c>
      <c r="E91" s="197" t="inlineStr">
        <is>
          <t>—</t>
        </is>
      </c>
      <c r="F91" s="197" t="inlineStr">
        <is>
          <t>Harish Bhat</t>
        </is>
      </c>
      <c r="G91" s="197" t="inlineStr">
        <is>
          <t>Online</t>
        </is>
      </c>
      <c r="H91" s="197" t="inlineStr">
        <is>
          <t>varsity tickets</t>
        </is>
      </c>
      <c r="I91" s="198" t="n">
        <v>0.25</v>
      </c>
    </row>
    <row r="92" ht="15.75" customHeight="1" s="156">
      <c r="A92" s="196" t="n">
        <v>86</v>
      </c>
      <c r="B92" s="197" t="inlineStr">
        <is>
          <t>Other</t>
        </is>
      </c>
      <c r="C92" s="197" t="inlineStr">
        <is>
          <t>varsity tickets</t>
        </is>
      </c>
      <c r="D92" s="197" t="inlineStr">
        <is>
          <t>2026-06-22</t>
        </is>
      </c>
      <c r="E92" s="197" t="inlineStr">
        <is>
          <t>—</t>
        </is>
      </c>
      <c r="F92" s="197" t="inlineStr">
        <is>
          <t>Harish Bhat</t>
        </is>
      </c>
      <c r="G92" s="197" t="inlineStr">
        <is>
          <t>Online</t>
        </is>
      </c>
      <c r="H92" s="197" t="inlineStr">
        <is>
          <t>varsity tickets</t>
        </is>
      </c>
      <c r="I92" s="198" t="n">
        <v>0.25</v>
      </c>
    </row>
    <row r="93" ht="15.75" customHeight="1" s="156">
      <c r="A93" s="196" t="n">
        <v>87</v>
      </c>
      <c r="B93" s="197" t="inlineStr">
        <is>
          <t>Other</t>
        </is>
      </c>
      <c r="C93" s="197" t="inlineStr">
        <is>
          <t>varsity tickets</t>
        </is>
      </c>
      <c r="D93" s="197" t="inlineStr">
        <is>
          <t>2026-06-23</t>
        </is>
      </c>
      <c r="E93" s="197" t="inlineStr">
        <is>
          <t>—</t>
        </is>
      </c>
      <c r="F93" s="197" t="inlineStr">
        <is>
          <t>Harish Bhat</t>
        </is>
      </c>
      <c r="G93" s="197" t="inlineStr">
        <is>
          <t>Online</t>
        </is>
      </c>
      <c r="H93" s="197" t="inlineStr">
        <is>
          <t>varsity tickets</t>
        </is>
      </c>
      <c r="I93" s="198" t="n">
        <v>0.25</v>
      </c>
    </row>
    <row r="94" ht="15.75" customHeight="1" s="156">
      <c r="A94" s="196" t="n">
        <v>88</v>
      </c>
      <c r="B94" s="197" t="inlineStr">
        <is>
          <t>Other</t>
        </is>
      </c>
      <c r="C94" s="197" t="inlineStr">
        <is>
          <t>varsity tickets</t>
        </is>
      </c>
      <c r="D94" s="197" t="inlineStr">
        <is>
          <t>2026-06-24</t>
        </is>
      </c>
      <c r="E94" s="197" t="inlineStr">
        <is>
          <t>—</t>
        </is>
      </c>
      <c r="F94" s="197" t="inlineStr">
        <is>
          <t>Harish Bhat</t>
        </is>
      </c>
      <c r="G94" s="197" t="inlineStr">
        <is>
          <t>Online</t>
        </is>
      </c>
      <c r="H94" s="197" t="inlineStr">
        <is>
          <t>varsity tickets</t>
        </is>
      </c>
      <c r="I94" s="198" t="n">
        <v>0.25</v>
      </c>
    </row>
    <row r="95" ht="15.75" customHeight="1" s="156">
      <c r="A95" s="196" t="n">
        <v>89</v>
      </c>
      <c r="B95" s="197" t="inlineStr">
        <is>
          <t>Other</t>
        </is>
      </c>
      <c r="C95" s="197" t="inlineStr">
        <is>
          <t>varsity tickets</t>
        </is>
      </c>
      <c r="D95" s="197" t="inlineStr">
        <is>
          <t>2026-06-25</t>
        </is>
      </c>
      <c r="E95" s="197" t="inlineStr">
        <is>
          <t>—</t>
        </is>
      </c>
      <c r="F95" s="197" t="inlineStr">
        <is>
          <t>Harish Bhat</t>
        </is>
      </c>
      <c r="G95" s="197" t="inlineStr">
        <is>
          <t>Online</t>
        </is>
      </c>
      <c r="H95" s="197" t="inlineStr">
        <is>
          <t>varsity tickets</t>
        </is>
      </c>
      <c r="I95" s="198" t="n">
        <v>0.25</v>
      </c>
    </row>
    <row r="96" ht="15.75" customHeight="1" s="156">
      <c r="A96" s="196" t="n">
        <v>90</v>
      </c>
      <c r="B96" s="197" t="inlineStr">
        <is>
          <t>Other</t>
        </is>
      </c>
      <c r="C96" s="197" t="inlineStr">
        <is>
          <t>varsity tickets</t>
        </is>
      </c>
      <c r="D96" s="197" t="inlineStr">
        <is>
          <t>2026-06-29</t>
        </is>
      </c>
      <c r="E96" s="197" t="inlineStr">
        <is>
          <t>—</t>
        </is>
      </c>
      <c r="F96" s="197" t="inlineStr">
        <is>
          <t>Harish Bhat</t>
        </is>
      </c>
      <c r="G96" s="197" t="inlineStr">
        <is>
          <t>Online</t>
        </is>
      </c>
      <c r="H96" s="197" t="inlineStr">
        <is>
          <t>varsity tickets</t>
        </is>
      </c>
      <c r="I96" s="198" t="n">
        <v>0.25</v>
      </c>
    </row>
    <row r="97" ht="15.75" customHeight="1" s="156">
      <c r="A97" s="196" t="n">
        <v>91</v>
      </c>
      <c r="B97" s="197" t="inlineStr">
        <is>
          <t>Other</t>
        </is>
      </c>
      <c r="C97" s="197" t="inlineStr">
        <is>
          <t>varsity tickets</t>
        </is>
      </c>
      <c r="D97" s="197" t="inlineStr">
        <is>
          <t>2026-06-30</t>
        </is>
      </c>
      <c r="E97" s="197" t="inlineStr">
        <is>
          <t>—</t>
        </is>
      </c>
      <c r="F97" s="197" t="inlineStr">
        <is>
          <t>Harish Bhat</t>
        </is>
      </c>
      <c r="G97" s="197" t="inlineStr">
        <is>
          <t>Online</t>
        </is>
      </c>
      <c r="H97" s="197" t="inlineStr">
        <is>
          <t>varsity tickets</t>
        </is>
      </c>
      <c r="I97" s="198" t="n">
        <v>0.25</v>
      </c>
    </row>
    <row r="98" ht="15.75" customHeight="1" s="156">
      <c r="A98" s="202" t="inlineStr">
        <is>
          <t>TOTAL MAN HOURS THIS MONTH</t>
        </is>
      </c>
      <c r="B98" s="202" t="n"/>
      <c r="C98" s="202" t="n"/>
      <c r="D98" s="202" t="n"/>
      <c r="E98" s="202" t="n"/>
      <c r="F98" s="202" t="n"/>
      <c r="G98" s="202" t="n"/>
      <c r="H98" s="202" t="n"/>
      <c r="I98" s="203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25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4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9" t="n">
        <v>1</v>
      </c>
      <c r="B7" s="200" t="inlineStr">
        <is>
          <t>Support Training</t>
        </is>
      </c>
      <c r="C7" s="200" t="inlineStr">
        <is>
          <t>Tickets team communicate 360 training</t>
        </is>
      </c>
      <c r="D7" s="200" t="inlineStr">
        <is>
          <t>2026-07-01</t>
        </is>
      </c>
      <c r="E7" s="200" t="inlineStr">
        <is>
          <t>—</t>
        </is>
      </c>
      <c r="F7" s="200" t="inlineStr">
        <is>
          <t>Freeda Reshma Dsouza</t>
        </is>
      </c>
      <c r="G7" s="200" t="inlineStr">
        <is>
          <t>Offline</t>
        </is>
      </c>
      <c r="H7" s="200" t="inlineStr">
        <is>
          <t>Tickets team communicate 360 training</t>
        </is>
      </c>
      <c r="I7" s="201" t="n">
        <v>2.5</v>
      </c>
    </row>
    <row r="8" ht="21.75" customHeight="1" s="156">
      <c r="A8" s="199" t="n">
        <v>2</v>
      </c>
      <c r="B8" s="200" t="inlineStr">
        <is>
          <t>Support Training</t>
        </is>
      </c>
      <c r="C8" s="200" t="inlineStr">
        <is>
          <t>Tickets team communicate 360 training</t>
        </is>
      </c>
      <c r="D8" s="200" t="inlineStr">
        <is>
          <t>2026-07-01</t>
        </is>
      </c>
      <c r="E8" s="200" t="inlineStr">
        <is>
          <t>—</t>
        </is>
      </c>
      <c r="F8" s="200" t="inlineStr">
        <is>
          <t>Freeda Reshma Dsouza</t>
        </is>
      </c>
      <c r="G8" s="200" t="inlineStr">
        <is>
          <t>Offline</t>
        </is>
      </c>
      <c r="H8" s="200" t="inlineStr">
        <is>
          <t>Tickets team communicate 360 training</t>
        </is>
      </c>
      <c r="I8" s="201" t="n">
        <v>3.5</v>
      </c>
    </row>
    <row r="9" ht="21.75" customHeight="1" s="156">
      <c r="A9" s="196" t="n">
        <v>3</v>
      </c>
      <c r="B9" s="197" t="inlineStr">
        <is>
          <t>Support Training</t>
        </is>
      </c>
      <c r="C9" s="197" t="inlineStr">
        <is>
          <t>Tickets team P&amp;S reviewing</t>
        </is>
      </c>
      <c r="D9" s="197" t="inlineStr">
        <is>
          <t>2026-07-01</t>
        </is>
      </c>
      <c r="E9" s="197" t="inlineStr">
        <is>
          <t>—</t>
        </is>
      </c>
      <c r="F9" s="197" t="inlineStr">
        <is>
          <t>Girish A</t>
        </is>
      </c>
      <c r="G9" s="197" t="inlineStr">
        <is>
          <t>Online</t>
        </is>
      </c>
      <c r="H9" s="197" t="inlineStr">
        <is>
          <t>Tickets team P&amp;S reviewing</t>
        </is>
      </c>
      <c r="I9" s="198" t="n">
        <v>2.5</v>
      </c>
    </row>
    <row r="10" ht="21.75" customHeight="1" s="156">
      <c r="A10" s="196" t="n">
        <v>4</v>
      </c>
      <c r="B10" s="197" t="inlineStr">
        <is>
          <t>Support Training</t>
        </is>
      </c>
      <c r="C10" s="197" t="inlineStr">
        <is>
          <t>Scheduling the email for the previous batch for Comm360</t>
        </is>
      </c>
      <c r="D10" s="197" t="inlineStr">
        <is>
          <t>2026-07-01</t>
        </is>
      </c>
      <c r="E10" s="197" t="inlineStr">
        <is>
          <t>—</t>
        </is>
      </c>
      <c r="F10" s="197" t="inlineStr">
        <is>
          <t>Girish A</t>
        </is>
      </c>
      <c r="G10" s="197" t="inlineStr">
        <is>
          <t>Online</t>
        </is>
      </c>
      <c r="H10" s="197" t="inlineStr">
        <is>
          <t>Scheduling the email for the previous batch for Comm360</t>
        </is>
      </c>
      <c r="I10" s="198" t="n">
        <v>2</v>
      </c>
    </row>
    <row r="11" ht="21.75" customHeight="1" s="156">
      <c r="A11" s="196" t="n">
        <v>5</v>
      </c>
      <c r="B11" s="197" t="inlineStr">
        <is>
          <t>Other</t>
        </is>
      </c>
      <c r="C11" s="197" t="inlineStr">
        <is>
          <t>LMS tool testing</t>
        </is>
      </c>
      <c r="D11" s="197" t="inlineStr">
        <is>
          <t>2026-07-02</t>
        </is>
      </c>
      <c r="E11" s="197" t="inlineStr">
        <is>
          <t>—</t>
        </is>
      </c>
      <c r="F11" s="197" t="inlineStr">
        <is>
          <t>Girish A</t>
        </is>
      </c>
      <c r="G11" s="197" t="inlineStr">
        <is>
          <t>Online</t>
        </is>
      </c>
      <c r="H11" s="197" t="inlineStr">
        <is>
          <t>LMS tool testing</t>
        </is>
      </c>
      <c r="I11" s="198" t="n">
        <v>1.5</v>
      </c>
    </row>
    <row r="12" ht="21.75" customHeight="1" s="156">
      <c r="A12" s="196" t="n">
        <v>6</v>
      </c>
      <c r="B12" s="197" t="inlineStr">
        <is>
          <t>Other</t>
        </is>
      </c>
      <c r="C12" s="197" t="inlineStr">
        <is>
          <t>LMS tool testing</t>
        </is>
      </c>
      <c r="D12" s="197" t="inlineStr">
        <is>
          <t>2026-07-03</t>
        </is>
      </c>
      <c r="E12" s="197" t="inlineStr">
        <is>
          <t>—</t>
        </is>
      </c>
      <c r="F12" s="197" t="inlineStr">
        <is>
          <t>Girish A</t>
        </is>
      </c>
      <c r="G12" s="197" t="inlineStr">
        <is>
          <t>Online</t>
        </is>
      </c>
      <c r="H12" s="197" t="inlineStr">
        <is>
          <t>LMS tool testing</t>
        </is>
      </c>
      <c r="I12" s="198" t="n">
        <v>1</v>
      </c>
    </row>
    <row r="13" ht="21.75" customHeight="1" s="156">
      <c r="A13" s="196" t="n">
        <v>7</v>
      </c>
      <c r="B13" s="197" t="inlineStr">
        <is>
          <t>Support Training</t>
        </is>
      </c>
      <c r="C13" s="197" t="inlineStr">
        <is>
          <t>NRI OJT</t>
        </is>
      </c>
      <c r="D13" s="197" t="inlineStr">
        <is>
          <t>2026-07-02</t>
        </is>
      </c>
      <c r="E13" s="197" t="inlineStr">
        <is>
          <t>—</t>
        </is>
      </c>
      <c r="F13" s="197" t="inlineStr">
        <is>
          <t>Girish A</t>
        </is>
      </c>
      <c r="G13" s="197" t="inlineStr">
        <is>
          <t>Online</t>
        </is>
      </c>
      <c r="H13" s="197" t="inlineStr">
        <is>
          <t>NRI OJT</t>
        </is>
      </c>
      <c r="I13" s="198" t="n">
        <v>2</v>
      </c>
    </row>
    <row r="14" ht="21.75" customHeight="1" s="156">
      <c r="A14" s="196" t="n">
        <v>8</v>
      </c>
      <c r="B14" s="197" t="inlineStr">
        <is>
          <t>Other</t>
        </is>
      </c>
      <c r="C14" s="197" t="inlineStr">
        <is>
          <t>SOP meeting</t>
        </is>
      </c>
      <c r="D14" s="197" t="inlineStr">
        <is>
          <t>2026-07-03</t>
        </is>
      </c>
      <c r="E14" s="197" t="inlineStr">
        <is>
          <t>—</t>
        </is>
      </c>
      <c r="F14" s="197" t="inlineStr">
        <is>
          <t>Girish A</t>
        </is>
      </c>
      <c r="G14" s="197" t="inlineStr">
        <is>
          <t>Online</t>
        </is>
      </c>
      <c r="H14" s="197" t="inlineStr">
        <is>
          <t>SOP meeting</t>
        </is>
      </c>
      <c r="I14" s="198" t="n">
        <v>1.5</v>
      </c>
    </row>
    <row r="15" ht="21.75" customHeight="1" s="156">
      <c r="A15" s="196" t="n">
        <v>9</v>
      </c>
      <c r="B15" s="197" t="inlineStr">
        <is>
          <t>Other</t>
        </is>
      </c>
      <c r="C15" s="197" t="inlineStr">
        <is>
          <t>SOP meeting</t>
        </is>
      </c>
      <c r="D15" s="197" t="inlineStr">
        <is>
          <t>2026-07-03</t>
        </is>
      </c>
      <c r="E15" s="197" t="inlineStr">
        <is>
          <t>—</t>
        </is>
      </c>
      <c r="F15" s="197" t="inlineStr">
        <is>
          <t>Harish Bhat</t>
        </is>
      </c>
      <c r="G15" s="197" t="inlineStr">
        <is>
          <t>Online</t>
        </is>
      </c>
      <c r="H15" s="197" t="inlineStr">
        <is>
          <t>SOP meeting</t>
        </is>
      </c>
      <c r="I15" s="198" t="n">
        <v>1.5</v>
      </c>
    </row>
    <row r="16" ht="21.75" customHeight="1" s="156">
      <c r="A16" s="199" t="n">
        <v>10</v>
      </c>
      <c r="B16" s="200" t="inlineStr">
        <is>
          <t>Other</t>
        </is>
      </c>
      <c r="C16" s="200" t="inlineStr">
        <is>
          <t>SOP Preparation</t>
        </is>
      </c>
      <c r="D16" s="200" t="inlineStr">
        <is>
          <t>2026-07-03</t>
        </is>
      </c>
      <c r="E16" s="200" t="inlineStr">
        <is>
          <t>—</t>
        </is>
      </c>
      <c r="F16" s="200" t="inlineStr">
        <is>
          <t>Harish Bhat</t>
        </is>
      </c>
      <c r="G16" s="200" t="inlineStr">
        <is>
          <t>Offline</t>
        </is>
      </c>
      <c r="H16" s="200" t="inlineStr">
        <is>
          <t>SOP Preparation</t>
        </is>
      </c>
      <c r="I16" s="201" t="n">
        <v>1</v>
      </c>
    </row>
    <row r="17" ht="21.75" customHeight="1" s="156">
      <c r="A17" s="199" t="n">
        <v>11</v>
      </c>
      <c r="B17" s="200" t="inlineStr">
        <is>
          <t>Other</t>
        </is>
      </c>
      <c r="C17" s="200" t="inlineStr">
        <is>
          <t>Refresher training data segregation</t>
        </is>
      </c>
      <c r="D17" s="200" t="inlineStr">
        <is>
          <t>2026-07-03</t>
        </is>
      </c>
      <c r="E17" s="200" t="inlineStr">
        <is>
          <t>—</t>
        </is>
      </c>
      <c r="F17" s="200" t="inlineStr">
        <is>
          <t>Harish Bhat</t>
        </is>
      </c>
      <c r="G17" s="200" t="inlineStr">
        <is>
          <t>Offline</t>
        </is>
      </c>
      <c r="H17" s="200" t="inlineStr">
        <is>
          <t>Refresher training data segregation</t>
        </is>
      </c>
      <c r="I17" s="201" t="n">
        <v>2</v>
      </c>
    </row>
    <row r="18" ht="21.75" customHeight="1" s="156">
      <c r="A18" s="196" t="n">
        <v>12</v>
      </c>
      <c r="B18" s="197" t="inlineStr">
        <is>
          <t>Assessment</t>
        </is>
      </c>
      <c r="C18" s="197" t="inlineStr">
        <is>
          <t>Tickets team P&amp;S review</t>
        </is>
      </c>
      <c r="D18" s="197" t="inlineStr">
        <is>
          <t>2026-07-01</t>
        </is>
      </c>
      <c r="E18" s="197" t="inlineStr">
        <is>
          <t>—</t>
        </is>
      </c>
      <c r="F18" s="197" t="inlineStr">
        <is>
          <t>Harish Bhat</t>
        </is>
      </c>
      <c r="G18" s="197" t="inlineStr">
        <is>
          <t>Online</t>
        </is>
      </c>
      <c r="H18" s="197" t="inlineStr">
        <is>
          <t>Tickets team P&amp;S review</t>
        </is>
      </c>
      <c r="I18" s="198" t="n">
        <v>3</v>
      </c>
    </row>
    <row r="19" ht="21.75" customHeight="1" s="156">
      <c r="A19" s="199" t="n">
        <v>13</v>
      </c>
      <c r="B19" s="200" t="inlineStr">
        <is>
          <t>Other</t>
        </is>
      </c>
      <c r="C19" s="200" t="inlineStr">
        <is>
          <t>Discussion on refresher</t>
        </is>
      </c>
      <c r="D19" s="200" t="inlineStr">
        <is>
          <t>2026-07-06</t>
        </is>
      </c>
      <c r="E19" s="200" t="inlineStr">
        <is>
          <t>—</t>
        </is>
      </c>
      <c r="F19" s="200" t="inlineStr">
        <is>
          <t>Harish Bhat</t>
        </is>
      </c>
      <c r="G19" s="200" t="inlineStr">
        <is>
          <t>Offline</t>
        </is>
      </c>
      <c r="H19" s="200" t="inlineStr">
        <is>
          <t>Discussion on refresher</t>
        </is>
      </c>
      <c r="I19" s="201" t="n">
        <v>2.5</v>
      </c>
    </row>
    <row r="20" ht="21.75" customHeight="1" s="156">
      <c r="A20" s="199" t="n">
        <v>14</v>
      </c>
      <c r="B20" s="200" t="inlineStr">
        <is>
          <t>Support Training</t>
        </is>
      </c>
      <c r="C20" s="200" t="inlineStr">
        <is>
          <t>Ticket's team Tickets team communicate 360 training (mock ticket)</t>
        </is>
      </c>
      <c r="D20" s="200" t="inlineStr">
        <is>
          <t>2026-07-02</t>
        </is>
      </c>
      <c r="E20" s="200" t="inlineStr">
        <is>
          <t>—</t>
        </is>
      </c>
      <c r="F20" s="200" t="inlineStr">
        <is>
          <t>Harish Bhat</t>
        </is>
      </c>
      <c r="G20" s="200" t="inlineStr">
        <is>
          <t>Offline</t>
        </is>
      </c>
      <c r="H20" s="200" t="inlineStr">
        <is>
          <t>Ticket's team Tickets team communicate 360 training (mock ticket)</t>
        </is>
      </c>
      <c r="I20" s="201" t="n">
        <v>2.5</v>
      </c>
    </row>
    <row r="21" ht="21.75" customHeight="1" s="156">
      <c r="A21" s="199" t="n">
        <v>15</v>
      </c>
      <c r="B21" s="200" t="inlineStr">
        <is>
          <t>Support Training</t>
        </is>
      </c>
      <c r="C21" s="200" t="inlineStr">
        <is>
          <t>Ticket's team Tickets team communicate 360 training (mock ticket)</t>
        </is>
      </c>
      <c r="D21" s="200" t="inlineStr">
        <is>
          <t>2026-07-02</t>
        </is>
      </c>
      <c r="E21" s="200" t="inlineStr">
        <is>
          <t>—</t>
        </is>
      </c>
      <c r="F21" s="200" t="inlineStr">
        <is>
          <t>Harish Bhat</t>
        </is>
      </c>
      <c r="G21" s="200" t="inlineStr">
        <is>
          <t>Offline</t>
        </is>
      </c>
      <c r="H21" s="200" t="inlineStr">
        <is>
          <t>Ticket's team Tickets team communicate 360 training (mock ticket)</t>
        </is>
      </c>
      <c r="I21" s="201" t="n">
        <v>2.5</v>
      </c>
    </row>
    <row r="22" ht="27.75" customHeight="1" s="156">
      <c r="A22" s="196" t="n">
        <v>16</v>
      </c>
      <c r="B22" s="197" t="inlineStr">
        <is>
          <t>Other</t>
        </is>
      </c>
      <c r="C22" s="197" t="inlineStr">
        <is>
          <t>varsity tickets</t>
        </is>
      </c>
      <c r="D22" s="197" t="inlineStr">
        <is>
          <t>2026-07-01</t>
        </is>
      </c>
      <c r="E22" s="197" t="inlineStr">
        <is>
          <t>—</t>
        </is>
      </c>
      <c r="F22" s="197" t="inlineStr">
        <is>
          <t>Harish Bhat</t>
        </is>
      </c>
      <c r="G22" s="197" t="inlineStr">
        <is>
          <t>Online</t>
        </is>
      </c>
      <c r="H22" s="197" t="inlineStr">
        <is>
          <t>varsity tickets</t>
        </is>
      </c>
      <c r="I22" s="198" t="n">
        <v>0.25</v>
      </c>
    </row>
    <row r="23" ht="15.75" customHeight="1" s="156">
      <c r="A23" s="196" t="n">
        <v>17</v>
      </c>
      <c r="B23" s="197" t="inlineStr">
        <is>
          <t>Other</t>
        </is>
      </c>
      <c r="C23" s="197" t="inlineStr">
        <is>
          <t>varsity tickets</t>
        </is>
      </c>
      <c r="D23" s="197" t="inlineStr">
        <is>
          <t>2026-07-02</t>
        </is>
      </c>
      <c r="E23" s="197" t="inlineStr">
        <is>
          <t>—</t>
        </is>
      </c>
      <c r="F23" s="197" t="inlineStr">
        <is>
          <t>Harish Bhat</t>
        </is>
      </c>
      <c r="G23" s="197" t="inlineStr">
        <is>
          <t>Online</t>
        </is>
      </c>
      <c r="H23" s="197" t="inlineStr">
        <is>
          <t>varsity tickets</t>
        </is>
      </c>
      <c r="I23" s="198" t="n">
        <v>0.25</v>
      </c>
    </row>
    <row r="24" ht="15.75" customHeight="1" s="156">
      <c r="A24" s="196" t="n">
        <v>18</v>
      </c>
      <c r="B24" s="197" t="inlineStr">
        <is>
          <t>Other</t>
        </is>
      </c>
      <c r="C24" s="197" t="inlineStr">
        <is>
          <t>varsity tickets</t>
        </is>
      </c>
      <c r="D24" s="197" t="inlineStr">
        <is>
          <t>2026-07-03</t>
        </is>
      </c>
      <c r="E24" s="197" t="inlineStr">
        <is>
          <t>—</t>
        </is>
      </c>
      <c r="F24" s="197" t="inlineStr">
        <is>
          <t>Harish Bhat</t>
        </is>
      </c>
      <c r="G24" s="197" t="inlineStr">
        <is>
          <t>Online</t>
        </is>
      </c>
      <c r="H24" s="197" t="inlineStr">
        <is>
          <t>varsity tickets</t>
        </is>
      </c>
      <c r="I24" s="198" t="n">
        <v>0.25</v>
      </c>
    </row>
    <row r="25" ht="15.75" customHeight="1" s="156">
      <c r="A25" s="202" t="inlineStr">
        <is>
          <t>TOTAL MAN HOURS THIS MONTH</t>
        </is>
      </c>
      <c r="B25" s="202" t="n"/>
      <c r="C25" s="202" t="n"/>
      <c r="D25" s="202" t="n"/>
      <c r="E25" s="202" t="n"/>
      <c r="F25" s="202" t="n"/>
      <c r="G25" s="202" t="n"/>
      <c r="H25" s="202" t="n"/>
      <c r="I25" s="203">
        <f>SUM(I7:I24)</f>
        <v/>
      </c>
    </row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25:H25"/>
    <mergeCell ref="A3:I3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7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0" t="inlineStr">
        <is>
          <t>No training activities recorded yet — add entries below</t>
        </is>
      </c>
      <c r="B7" s="230" t="n"/>
      <c r="C7" s="230" t="n"/>
      <c r="D7" s="230" t="n"/>
      <c r="E7" s="230" t="n"/>
      <c r="F7" s="230" t="n"/>
      <c r="G7" s="230" t="n"/>
      <c r="H7" s="230" t="n"/>
      <c r="I7" s="230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2" t="inlineStr">
        <is>
          <t>TOTAL MAN HOURS THIS MONTH</t>
        </is>
      </c>
      <c r="B22" s="202" t="n"/>
      <c r="C22" s="202" t="n"/>
      <c r="D22" s="202" t="n"/>
      <c r="E22" s="202" t="n"/>
      <c r="F22" s="202" t="n"/>
      <c r="G22" s="202" t="n"/>
      <c r="H22" s="202" t="n"/>
      <c r="I22" s="20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1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2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3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0" t="inlineStr">
        <is>
          <t>No training activities recorded yet — add entries below</t>
        </is>
      </c>
      <c r="B7" s="230" t="n"/>
      <c r="C7" s="230" t="n"/>
      <c r="D7" s="230" t="n"/>
      <c r="E7" s="230" t="n"/>
      <c r="F7" s="230" t="n"/>
      <c r="G7" s="230" t="n"/>
      <c r="H7" s="230" t="n"/>
      <c r="I7" s="230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2" t="inlineStr">
        <is>
          <t>TOTAL MAN HOURS THIS MONTH</t>
        </is>
      </c>
      <c r="B22" s="202" t="n"/>
      <c r="C22" s="202" t="n"/>
      <c r="D22" s="202" t="n"/>
      <c r="E22" s="202" t="n"/>
      <c r="F22" s="202" t="n"/>
      <c r="G22" s="202" t="n"/>
      <c r="H22" s="202" t="n"/>
      <c r="I22" s="20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4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0" t="inlineStr">
        <is>
          <t>No training activities recorded yet — add entries below</t>
        </is>
      </c>
      <c r="B7" s="230" t="n"/>
      <c r="C7" s="230" t="n"/>
      <c r="D7" s="230" t="n"/>
      <c r="E7" s="230" t="n"/>
      <c r="F7" s="230" t="n"/>
      <c r="G7" s="230" t="n"/>
      <c r="H7" s="230" t="n"/>
      <c r="I7" s="230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2" t="inlineStr">
        <is>
          <t>TOTAL MAN HOURS THIS MONTH</t>
        </is>
      </c>
      <c r="B22" s="202" t="n"/>
      <c r="C22" s="202" t="n"/>
      <c r="D22" s="202" t="n"/>
      <c r="E22" s="202" t="n"/>
      <c r="F22" s="202" t="n"/>
      <c r="G22" s="202" t="n"/>
      <c r="H22" s="202" t="n"/>
      <c r="I22" s="20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0" t="inlineStr">
        <is>
          <t>No training activities recorded yet — add entries below</t>
        </is>
      </c>
      <c r="B7" s="230" t="n"/>
      <c r="C7" s="230" t="n"/>
      <c r="D7" s="230" t="n"/>
      <c r="E7" s="230" t="n"/>
      <c r="F7" s="230" t="n"/>
      <c r="G7" s="230" t="n"/>
      <c r="H7" s="230" t="n"/>
      <c r="I7" s="230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2" t="inlineStr">
        <is>
          <t>TOTAL MAN HOURS THIS MONTH</t>
        </is>
      </c>
      <c r="B22" s="202" t="n"/>
      <c r="C22" s="202" t="n"/>
      <c r="D22" s="202" t="n"/>
      <c r="E22" s="202" t="n"/>
      <c r="F22" s="202" t="n"/>
      <c r="G22" s="202" t="n"/>
      <c r="H22" s="202" t="n"/>
      <c r="I22" s="20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3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19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0" t="inlineStr">
        <is>
          <t>No training activities recorded yet — add entries below</t>
        </is>
      </c>
      <c r="B7" s="230" t="n"/>
      <c r="C7" s="230" t="n"/>
      <c r="D7" s="230" t="n"/>
      <c r="E7" s="230" t="n"/>
      <c r="F7" s="230" t="n"/>
      <c r="G7" s="230" t="n"/>
      <c r="H7" s="230" t="n"/>
      <c r="I7" s="230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2" t="inlineStr">
        <is>
          <t>TOTAL MAN HOURS THIS MONTH</t>
        </is>
      </c>
      <c r="B22" s="202" t="n"/>
      <c r="C22" s="202" t="n"/>
      <c r="D22" s="202" t="n"/>
      <c r="E22" s="202" t="n"/>
      <c r="F22" s="202" t="n"/>
      <c r="G22" s="202" t="n"/>
      <c r="H22" s="202" t="n"/>
      <c r="I22" s="20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2026-07-08T10:21:52Z</dcterms:created>
  <dcterms:modified xsi:type="dcterms:W3CDTF">2026-07-08T10:21:57Z</dcterms:modified>
</cp:coreProperties>
</file>