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'CD'!$E$2:$E$3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'CD'!$F$2:$F$3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'CD'!$A$10:$A$35</f>
            </numRef>
          </cat>
          <val>
            <numRef>
              <f>'CD'!$B$10:$B$35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August 2026</t>
        </is>
      </c>
      <c r="C19" s="178" t="n"/>
      <c r="D19" s="179">
        <f>SUMIFS(Data!$I$2:$I$1000,Data!$A$2:$A$1000,"August 2026",Data!$F$2:$F$1000,"*Gaurav*")</f>
        <v/>
      </c>
      <c r="E19" s="180" t="n"/>
      <c r="F19" s="179">
        <f>SUMIFS(Data!$I$2:$I$1000,Data!$A$2:$A$1000,"August 2026",Data!$F$2:$F$1000,"*Raju*")</f>
        <v/>
      </c>
      <c r="G19" s="180" t="n"/>
      <c r="H19" s="179">
        <f>SUMIFS(Data!$I$2:$I$1000,Data!$A$2:$A$1000,"August 2026",Data!$F$2:$F$1000,"*Freeda*")</f>
        <v/>
      </c>
      <c r="I19" s="180" t="n"/>
      <c r="J19" s="179">
        <f>SUMIFS(Data!$I$2:$I$1000,Data!$A$2:$A$1000,"August 2026",Data!$F$2:$F$1000,"*Harish*")</f>
        <v/>
      </c>
      <c r="K19" s="180" t="n"/>
      <c r="L19" s="179">
        <f>SUMIFS(Data!$I$2:$I$1000,Data!$A$2:$A$1000,"August 2026",Data!$F$2:$F$1000,"*Girish*")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September 2026</t>
        </is>
      </c>
      <c r="C20" s="183" t="n"/>
      <c r="D20" s="184">
        <f>SUMIFS(Data!$I$2:$I$1000,Data!$A$2:$A$1000,"September 2026",Data!$F$2:$F$1000,"*Gaurav*")</f>
        <v/>
      </c>
      <c r="E20" s="185" t="n"/>
      <c r="F20" s="184">
        <f>SUMIFS(Data!$I$2:$I$1000,Data!$A$2:$A$1000,"September 2026",Data!$F$2:$F$1000,"*Raju*")</f>
        <v/>
      </c>
      <c r="G20" s="185" t="n"/>
      <c r="H20" s="184">
        <f>SUMIFS(Data!$I$2:$I$1000,Data!$A$2:$A$1000,"September 2026",Data!$F$2:$F$1000,"*Freeda*")</f>
        <v/>
      </c>
      <c r="I20" s="185" t="n"/>
      <c r="J20" s="184">
        <f>SUMIFS(Data!$I$2:$I$1000,Data!$A$2:$A$1000,"September 2026",Data!$F$2:$F$1000,"*Harish*")</f>
        <v/>
      </c>
      <c r="K20" s="185" t="n"/>
      <c r="L20" s="184">
        <f>SUMIFS(Data!$I$2:$I$1000,Data!$A$2:$A$1000,"September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77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88" t="inlineStr">
        <is>
          <t>Monthly Hours by Trainer</t>
        </is>
      </c>
      <c r="G23" s="188" t="inlineStr">
        <is>
          <t>Online vs Offline</t>
        </is>
      </c>
      <c r="K23" s="18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77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89" t="inlineStr">
        <is>
          <t>December 2025</t>
        </is>
      </c>
      <c r="C58" s="190" t="inlineStr">
        <is>
          <t>Team Refresher</t>
        </is>
      </c>
      <c r="D58" s="190" t="n"/>
      <c r="E58" s="190" t="inlineStr">
        <is>
          <t>ACOP (Online Team)</t>
        </is>
      </c>
      <c r="F58" s="190" t="n"/>
      <c r="G58" s="189" t="inlineStr">
        <is>
          <t>10-Dec</t>
        </is>
      </c>
      <c r="H58" s="189" t="inlineStr">
        <is>
          <t>23-Dec</t>
        </is>
      </c>
      <c r="I58" s="189" t="n"/>
      <c r="J58" s="190" t="inlineStr">
        <is>
          <t>Raju Vernekar</t>
        </is>
      </c>
      <c r="K58" s="190" t="n"/>
      <c r="L58" s="189" t="inlineStr">
        <is>
          <t>Online</t>
        </is>
      </c>
      <c r="M58" s="189" t="n"/>
      <c r="N58" s="190" t="inlineStr">
        <is>
          <t>Kite mobile/web &amp; order types</t>
        </is>
      </c>
      <c r="O58" s="190" t="n"/>
      <c r="P58" s="190" t="n"/>
      <c r="Q58" s="191" t="n">
        <v>16</v>
      </c>
      <c r="R58" s="19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89" t="inlineStr">
        <is>
          <t>December 2025</t>
        </is>
      </c>
      <c r="C59" s="190" t="inlineStr">
        <is>
          <t>ACOP Team Refresher</t>
        </is>
      </c>
      <c r="D59" s="190" t="n"/>
      <c r="E59" s="190" t="inlineStr">
        <is>
          <t>ACOP (Online Team)</t>
        </is>
      </c>
      <c r="F59" s="190" t="n"/>
      <c r="G59" s="189" t="inlineStr">
        <is>
          <t>10-Dec</t>
        </is>
      </c>
      <c r="H59" s="189" t="inlineStr">
        <is>
          <t>19-Dec</t>
        </is>
      </c>
      <c r="I59" s="189" t="n"/>
      <c r="J59" s="190" t="inlineStr">
        <is>
          <t>Gaurav Kumar</t>
        </is>
      </c>
      <c r="K59" s="190" t="n"/>
      <c r="L59" s="189" t="inlineStr">
        <is>
          <t>Online</t>
        </is>
      </c>
      <c r="M59" s="189" t="n"/>
      <c r="N59" s="190" t="inlineStr">
        <is>
          <t>Kite mobile/web &amp; order types</t>
        </is>
      </c>
      <c r="O59" s="190" t="n"/>
      <c r="P59" s="190" t="n"/>
      <c r="Q59" s="191" t="n">
        <v>16</v>
      </c>
      <c r="R59" s="19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89" t="inlineStr">
        <is>
          <t>December 2025</t>
        </is>
      </c>
      <c r="C60" s="190" t="inlineStr">
        <is>
          <t>Project Maven</t>
        </is>
      </c>
      <c r="D60" s="190" t="n"/>
      <c r="E60" s="190" t="inlineStr">
        <is>
          <t>MCP (Project Maven)</t>
        </is>
      </c>
      <c r="F60" s="190" t="n"/>
      <c r="G60" s="189" t="inlineStr">
        <is>
          <t>8-Dec</t>
        </is>
      </c>
      <c r="H60" s="189" t="inlineStr">
        <is>
          <t>On going</t>
        </is>
      </c>
      <c r="I60" s="189" t="n"/>
      <c r="J60" s="190" t="inlineStr">
        <is>
          <t>Raju Vernekar</t>
        </is>
      </c>
      <c r="K60" s="190" t="n"/>
      <c r="L60" s="189" t="inlineStr">
        <is>
          <t>Offline</t>
        </is>
      </c>
      <c r="M60" s="189" t="n"/>
      <c r="N60" s="190" t="inlineStr">
        <is>
          <t>Project Maven for Support (MCP)</t>
        </is>
      </c>
      <c r="O60" s="190" t="n"/>
      <c r="P60" s="190" t="n"/>
      <c r="Q60" s="191" t="n">
        <v>52</v>
      </c>
      <c r="R60" s="19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89" t="inlineStr">
        <is>
          <t>December 2025</t>
        </is>
      </c>
      <c r="C61" s="190" t="inlineStr">
        <is>
          <t>Project Maven</t>
        </is>
      </c>
      <c r="D61" s="190" t="n"/>
      <c r="E61" s="190" t="inlineStr">
        <is>
          <t>MCP (Project Maven)</t>
        </is>
      </c>
      <c r="F61" s="190" t="n"/>
      <c r="G61" s="189" t="inlineStr">
        <is>
          <t>8-Dec</t>
        </is>
      </c>
      <c r="H61" s="189" t="inlineStr">
        <is>
          <t>On going</t>
        </is>
      </c>
      <c r="I61" s="189" t="n"/>
      <c r="J61" s="190" t="inlineStr">
        <is>
          <t>Gaurav Kumar</t>
        </is>
      </c>
      <c r="K61" s="190" t="n"/>
      <c r="L61" s="189" t="inlineStr">
        <is>
          <t>Offline</t>
        </is>
      </c>
      <c r="M61" s="189" t="n"/>
      <c r="N61" s="190" t="inlineStr">
        <is>
          <t>Project Maven for Support (MCP)</t>
        </is>
      </c>
      <c r="O61" s="190" t="n"/>
      <c r="P61" s="190" t="n"/>
      <c r="Q61" s="191" t="n">
        <v>45</v>
      </c>
      <c r="R61" s="19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89" t="inlineStr">
        <is>
          <t>December 2025</t>
        </is>
      </c>
      <c r="C62" s="190" t="inlineStr">
        <is>
          <t>Webinar</t>
        </is>
      </c>
      <c r="D62" s="190" t="n"/>
      <c r="E62" s="190" t="inlineStr">
        <is>
          <t>Support Team</t>
        </is>
      </c>
      <c r="F62" s="190" t="n"/>
      <c r="G62" s="189" t="inlineStr">
        <is>
          <t>19-Dec</t>
        </is>
      </c>
      <c r="H62" s="189" t="inlineStr">
        <is>
          <t>19-Dec</t>
        </is>
      </c>
      <c r="I62" s="189" t="n"/>
      <c r="J62" s="190" t="inlineStr">
        <is>
          <t>Gaurav Kumar / Raju Vernekar</t>
        </is>
      </c>
      <c r="K62" s="190" t="n"/>
      <c r="L62" s="189" t="inlineStr">
        <is>
          <t>Online</t>
        </is>
      </c>
      <c r="M62" s="189" t="n"/>
      <c r="N62" s="190" t="inlineStr">
        <is>
          <t>Delta Violation</t>
        </is>
      </c>
      <c r="O62" s="190" t="n"/>
      <c r="P62" s="190" t="n"/>
      <c r="Q62" s="191" t="n">
        <v>3</v>
      </c>
      <c r="R62" s="19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89" t="inlineStr">
        <is>
          <t>December 2025</t>
        </is>
      </c>
      <c r="C63" s="190" t="inlineStr">
        <is>
          <t>Session</t>
        </is>
      </c>
      <c r="D63" s="190" t="n"/>
      <c r="E63" s="190" t="inlineStr">
        <is>
          <t>Support Manager &amp; AVPs</t>
        </is>
      </c>
      <c r="F63" s="190" t="n"/>
      <c r="G63" s="189" t="inlineStr">
        <is>
          <t>11-Dec</t>
        </is>
      </c>
      <c r="H63" s="189" t="inlineStr">
        <is>
          <t>11-Dec</t>
        </is>
      </c>
      <c r="I63" s="189" t="n"/>
      <c r="J63" s="190" t="inlineStr">
        <is>
          <t>Gaurav Kumar</t>
        </is>
      </c>
      <c r="K63" s="190" t="n"/>
      <c r="L63" s="189" t="inlineStr">
        <is>
          <t>Online</t>
        </is>
      </c>
      <c r="M63" s="189" t="n"/>
      <c r="N63" s="190" t="inlineStr">
        <is>
          <t>Delta Violation</t>
        </is>
      </c>
      <c r="O63" s="190" t="n"/>
      <c r="P63" s="190" t="n"/>
      <c r="Q63" s="191" t="n">
        <v>3</v>
      </c>
      <c r="R63" s="19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 t="inlineStr">
        <is>
          <t>January 2026</t>
        </is>
      </c>
      <c r="C64" s="190" t="inlineStr">
        <is>
          <t>Refresher</t>
        </is>
      </c>
      <c r="D64" s="190" t="n"/>
      <c r="E64" s="190" t="inlineStr">
        <is>
          <t>Sherin's Team</t>
        </is>
      </c>
      <c r="F64" s="190" t="n"/>
      <c r="G64" s="189" t="inlineStr">
        <is>
          <t>13-Jan</t>
        </is>
      </c>
      <c r="H64" s="189" t="inlineStr">
        <is>
          <t>13-Jan</t>
        </is>
      </c>
      <c r="I64" s="189" t="n"/>
      <c r="J64" s="190" t="inlineStr">
        <is>
          <t>Raju Vernekar</t>
        </is>
      </c>
      <c r="K64" s="190" t="n"/>
      <c r="L64" s="189" t="inlineStr">
        <is>
          <t>Online</t>
        </is>
      </c>
      <c r="M64" s="189" t="n"/>
      <c r="N64" s="190" t="inlineStr">
        <is>
          <t>Basics of support</t>
        </is>
      </c>
      <c r="O64" s="190" t="n"/>
      <c r="P64" s="190" t="n"/>
      <c r="Q64" s="191" t="n">
        <v>4</v>
      </c>
      <c r="R64" s="19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inlineStr">
        <is>
          <t>January 2026</t>
        </is>
      </c>
      <c r="C65" s="190" t="inlineStr">
        <is>
          <t>Project Maven</t>
        </is>
      </c>
      <c r="D65" s="190" t="n"/>
      <c r="E65" s="190" t="inlineStr">
        <is>
          <t>MCP (Project Maven)</t>
        </is>
      </c>
      <c r="F65" s="190" t="n"/>
      <c r="G65" s="189" t="inlineStr">
        <is>
          <t>1-Jan</t>
        </is>
      </c>
      <c r="H65" s="189" t="inlineStr">
        <is>
          <t>On going</t>
        </is>
      </c>
      <c r="I65" s="189" t="n"/>
      <c r="J65" s="190" t="inlineStr">
        <is>
          <t>Raju Vernekar</t>
        </is>
      </c>
      <c r="K65" s="190" t="n"/>
      <c r="L65" s="189" t="inlineStr">
        <is>
          <t>Offline</t>
        </is>
      </c>
      <c r="M65" s="189" t="n"/>
      <c r="N65" s="190" t="inlineStr">
        <is>
          <t>Project Maven</t>
        </is>
      </c>
      <c r="O65" s="190" t="n"/>
      <c r="P65" s="190" t="n"/>
      <c r="Q65" s="191" t="n">
        <v>156</v>
      </c>
      <c r="R65" s="19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January 2026</t>
        </is>
      </c>
      <c r="C66" s="190" t="inlineStr">
        <is>
          <t>Assessments</t>
        </is>
      </c>
      <c r="D66" s="190" t="n"/>
      <c r="E66" s="190" t="inlineStr">
        <is>
          <t>Communication Assessment Tool</t>
        </is>
      </c>
      <c r="F66" s="190" t="n"/>
      <c r="G66" s="189" t="inlineStr">
        <is>
          <t>22-Jan</t>
        </is>
      </c>
      <c r="H66" s="189" t="inlineStr">
        <is>
          <t>22-Jan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Communication Assessment</t>
        </is>
      </c>
      <c r="O66" s="190" t="n"/>
      <c r="P66" s="190" t="n"/>
      <c r="Q66" s="191" t="n">
        <v>1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January 2026</t>
        </is>
      </c>
      <c r="C67" s="190" t="inlineStr">
        <is>
          <t>Refresher</t>
        </is>
      </c>
      <c r="D67" s="190" t="n"/>
      <c r="E67" s="190" t="inlineStr">
        <is>
          <t>Sherin's Team</t>
        </is>
      </c>
      <c r="F67" s="190" t="n"/>
      <c r="G67" s="189" t="inlineStr">
        <is>
          <t>12-Jan</t>
        </is>
      </c>
      <c r="H67" s="189" t="inlineStr">
        <is>
          <t>20-Jan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MTF, Hedge, Basket, Corp actions, MF</t>
        </is>
      </c>
      <c r="O67" s="190" t="n"/>
      <c r="P67" s="190" t="n"/>
      <c r="Q67" s="191" t="n">
        <v>15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January 2026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1-Jan</t>
        </is>
      </c>
      <c r="H68" s="189" t="inlineStr">
        <is>
          <t>On going</t>
        </is>
      </c>
      <c r="I68" s="189" t="n"/>
      <c r="J68" s="190" t="inlineStr">
        <is>
          <t>Gaurav Kumar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</t>
        </is>
      </c>
      <c r="O68" s="190" t="n"/>
      <c r="P68" s="190" t="n"/>
      <c r="Q68" s="191" t="n">
        <v>140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January 2026</t>
        </is>
      </c>
      <c r="C69" s="190" t="inlineStr">
        <is>
          <t>Refresher for Entire Support</t>
        </is>
      </c>
      <c r="D69" s="190" t="n"/>
      <c r="E69" s="190" t="inlineStr">
        <is>
          <t>Support Team</t>
        </is>
      </c>
      <c r="F69" s="190" t="n"/>
      <c r="G69" s="189" t="inlineStr">
        <is>
          <t>28-Jan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Online</t>
        </is>
      </c>
      <c r="M69" s="189" t="n"/>
      <c r="N69" s="190" t="inlineStr">
        <is>
          <t>Tijori Integration with Kite &amp; Console</t>
        </is>
      </c>
      <c r="O69" s="190" t="n"/>
      <c r="P69" s="190" t="n"/>
      <c r="Q69" s="191" t="n">
        <v>65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January 2026</t>
        </is>
      </c>
      <c r="C70" s="190" t="inlineStr">
        <is>
          <t>Refresher for Evening Support</t>
        </is>
      </c>
      <c r="D70" s="190" t="n"/>
      <c r="E70" s="190" t="inlineStr">
        <is>
          <t>MCX Team</t>
        </is>
      </c>
      <c r="F70" s="190" t="n"/>
      <c r="G70" s="189" t="inlineStr">
        <is>
          <t>29-Jan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Online</t>
        </is>
      </c>
      <c r="M70" s="189" t="n"/>
      <c r="N70" s="190" t="inlineStr">
        <is>
          <t>Tijori and MCX Devolvement</t>
        </is>
      </c>
      <c r="O70" s="190" t="n"/>
      <c r="P70" s="190" t="n"/>
      <c r="Q70" s="191" t="n">
        <v>11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January 2026</t>
        </is>
      </c>
      <c r="C71" s="190" t="inlineStr">
        <is>
          <t>Content Team Session</t>
        </is>
      </c>
      <c r="D71" s="190" t="n"/>
      <c r="E71" s="190" t="inlineStr">
        <is>
          <t>Stock tips</t>
        </is>
      </c>
      <c r="F71" s="190" t="n"/>
      <c r="G71" s="189" t="inlineStr">
        <is>
          <t>28-Jan</t>
        </is>
      </c>
      <c r="H71" s="189" t="inlineStr">
        <is>
          <t>28-Jan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Session for Stock tips</t>
        </is>
      </c>
      <c r="O71" s="190" t="n"/>
      <c r="P71" s="190" t="n"/>
      <c r="Q71" s="191" t="n">
        <v>1.5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Support Team OJT</t>
        </is>
      </c>
      <c r="D72" s="190" t="n"/>
      <c r="E72" s="190" t="inlineStr">
        <is>
          <t>OJT for SM (Support)</t>
        </is>
      </c>
      <c r="F72" s="190" t="n"/>
      <c r="G72" s="189" t="inlineStr">
        <is>
          <t>27-Dec</t>
        </is>
      </c>
      <c r="H72" s="189" t="inlineStr">
        <is>
          <t>31-Jan</t>
        </is>
      </c>
      <c r="I72" s="189" t="n"/>
      <c r="J72" s="190" t="inlineStr">
        <is>
          <t>Gaurav Kumar / Raju Vernekar</t>
        </is>
      </c>
      <c r="K72" s="190" t="n"/>
      <c r="L72" s="189" t="inlineStr">
        <is>
          <t>Online</t>
        </is>
      </c>
      <c r="M72" s="189" t="n"/>
      <c r="N72" s="190" t="inlineStr">
        <is>
          <t>Support On Job Training</t>
        </is>
      </c>
      <c r="O72" s="190" t="n"/>
      <c r="P72" s="190" t="n"/>
      <c r="Q72" s="191" t="n">
        <v>50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Assessment</t>
        </is>
      </c>
      <c r="D73" s="190" t="n"/>
      <c r="E73" s="190" t="inlineStr">
        <is>
          <t>Sherin's Team</t>
        </is>
      </c>
      <c r="F73" s="190" t="n"/>
      <c r="G73" s="189" t="inlineStr">
        <is>
          <t>23-Jan</t>
        </is>
      </c>
      <c r="H73" s="189" t="inlineStr">
        <is>
          <t>23-Jan</t>
        </is>
      </c>
      <c r="I73" s="189" t="n"/>
      <c r="J73" s="190" t="inlineStr">
        <is>
          <t>Gaurav Kumar</t>
        </is>
      </c>
      <c r="K73" s="190" t="n"/>
      <c r="L73" s="189" t="inlineStr">
        <is>
          <t>Online</t>
        </is>
      </c>
      <c r="M73" s="189" t="n"/>
      <c r="N73" s="190" t="inlineStr">
        <is>
          <t>MTF, Hedge, Basket, Corp actions, MF</t>
        </is>
      </c>
      <c r="O73" s="190" t="n"/>
      <c r="P73" s="190" t="n"/>
      <c r="Q73" s="191" t="n">
        <v>1.5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February 2026</t>
        </is>
      </c>
      <c r="C74" s="190" t="inlineStr">
        <is>
          <t>Project Maven</t>
        </is>
      </c>
      <c r="D74" s="190" t="n"/>
      <c r="E74" s="190" t="inlineStr">
        <is>
          <t>Project Maven</t>
        </is>
      </c>
      <c r="F74" s="190" t="n"/>
      <c r="G74" s="189" t="inlineStr">
        <is>
          <t>1-Feb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104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February 2026</t>
        </is>
      </c>
      <c r="C75" s="190" t="inlineStr">
        <is>
          <t>Project Maven</t>
        </is>
      </c>
      <c r="D75" s="190" t="n"/>
      <c r="E75" s="190" t="inlineStr">
        <is>
          <t>Project Maven</t>
        </is>
      </c>
      <c r="F75" s="190" t="n"/>
      <c r="G75" s="189" t="inlineStr">
        <is>
          <t>1-Feb</t>
        </is>
      </c>
      <c r="H75" s="189" t="inlineStr">
        <is>
          <t>On going</t>
        </is>
      </c>
      <c r="I75" s="189" t="n"/>
      <c r="J75" s="190" t="inlineStr">
        <is>
          <t>Gaurav Kumar</t>
        </is>
      </c>
      <c r="K75" s="190" t="n"/>
      <c r="L75" s="189" t="inlineStr">
        <is>
          <t>Offline</t>
        </is>
      </c>
      <c r="M75" s="189" t="n"/>
      <c r="N75" s="190" t="inlineStr">
        <is>
          <t>Project Maven</t>
        </is>
      </c>
      <c r="O75" s="190" t="n"/>
      <c r="P75" s="190" t="n"/>
      <c r="Q75" s="191" t="n">
        <v>102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February 2026</t>
        </is>
      </c>
      <c r="C76" s="190" t="inlineStr">
        <is>
          <t>Refresher for Entire Support</t>
        </is>
      </c>
      <c r="D76" s="190" t="n"/>
      <c r="E76" s="190" t="inlineStr">
        <is>
          <t>Customer Support</t>
        </is>
      </c>
      <c r="F76" s="190" t="n"/>
      <c r="G76" s="189" t="inlineStr">
        <is>
          <t>27-Jan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Tijori, MCX Devolvement, SLB</t>
        </is>
      </c>
      <c r="O76" s="190" t="n"/>
      <c r="P76" s="190" t="n"/>
      <c r="Q76" s="191" t="n">
        <v>36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February 2026</t>
        </is>
      </c>
      <c r="C77" s="190" t="inlineStr">
        <is>
          <t>Refresher for Support</t>
        </is>
      </c>
      <c r="D77" s="190" t="n"/>
      <c r="E77" s="190" t="inlineStr">
        <is>
          <t>Customer Support</t>
        </is>
      </c>
      <c r="F77" s="190" t="n"/>
      <c r="G77" s="189" t="inlineStr">
        <is>
          <t>11-Feb</t>
        </is>
      </c>
      <c r="H77" s="189" t="inlineStr">
        <is>
          <t>Completed</t>
        </is>
      </c>
      <c r="I77" s="189" t="n"/>
      <c r="J77" s="190" t="inlineStr">
        <is>
          <t>Raju Vernekar</t>
        </is>
      </c>
      <c r="K77" s="190" t="n"/>
      <c r="L77" s="189" t="inlineStr">
        <is>
          <t>Online</t>
        </is>
      </c>
      <c r="M77" s="189" t="n"/>
      <c r="N77" s="190" t="inlineStr">
        <is>
          <t>MCX Devolvement</t>
        </is>
      </c>
      <c r="O77" s="190" t="n"/>
      <c r="P77" s="190" t="n"/>
      <c r="Q77" s="191" t="n">
        <v>8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March 2026</t>
        </is>
      </c>
      <c r="C78" s="190" t="inlineStr">
        <is>
          <t>Assessment</t>
        </is>
      </c>
      <c r="D78" s="190" t="n"/>
      <c r="E78" s="190" t="inlineStr">
        <is>
          <t>Assessment - Communicate 360</t>
        </is>
      </c>
      <c r="F78" s="190" t="n"/>
      <c r="G78" s="189" t="inlineStr">
        <is>
          <t>1-Mar</t>
        </is>
      </c>
      <c r="H78" s="189" t="inlineStr">
        <is>
          <t>On going</t>
        </is>
      </c>
      <c r="I78" s="189" t="n"/>
      <c r="J78" s="190" t="inlineStr">
        <is>
          <t>Freeda Reshma Dsouza</t>
        </is>
      </c>
      <c r="K78" s="190" t="n"/>
      <c r="L78" s="189" t="inlineStr">
        <is>
          <t>Offline</t>
        </is>
      </c>
      <c r="M78" s="189" t="n"/>
      <c r="N78" s="190" t="inlineStr">
        <is>
          <t>Assessment - Communicate 360</t>
        </is>
      </c>
      <c r="O78" s="190" t="n"/>
      <c r="P78" s="190" t="n"/>
      <c r="Q78" s="191" t="n">
        <v>6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March 2026</t>
        </is>
      </c>
      <c r="C79" s="190" t="inlineStr">
        <is>
          <t>Assessment</t>
        </is>
      </c>
      <c r="D79" s="190" t="n"/>
      <c r="E79" s="190" t="inlineStr">
        <is>
          <t>Assessment tool - LMS</t>
        </is>
      </c>
      <c r="F79" s="190" t="n"/>
      <c r="G79" s="189" t="inlineStr">
        <is>
          <t>1-Mar</t>
        </is>
      </c>
      <c r="H79" s="189" t="inlineStr">
        <is>
          <t>12-Mar</t>
        </is>
      </c>
      <c r="I79" s="189" t="n"/>
      <c r="J79" s="190" t="inlineStr">
        <is>
          <t>Raju Vernekar / Girish A / Harish Bhat</t>
        </is>
      </c>
      <c r="K79" s="190" t="n"/>
      <c r="L79" s="189" t="inlineStr">
        <is>
          <t>Offline</t>
        </is>
      </c>
      <c r="M79" s="189" t="n"/>
      <c r="N79" s="190" t="inlineStr">
        <is>
          <t>Assessment tool - LMS</t>
        </is>
      </c>
      <c r="O79" s="190" t="n"/>
      <c r="P79" s="190" t="n"/>
      <c r="Q79" s="191" t="n">
        <v>2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March 2026</t>
        </is>
      </c>
      <c r="C80" s="190" t="inlineStr">
        <is>
          <t>Support Training</t>
        </is>
      </c>
      <c r="D80" s="190" t="n"/>
      <c r="E80" s="190" t="inlineStr">
        <is>
          <t>Tool building - C360</t>
        </is>
      </c>
      <c r="F80" s="190" t="n"/>
      <c r="G80" s="189" t="inlineStr">
        <is>
          <t>12-Mar</t>
        </is>
      </c>
      <c r="H80" s="189" t="inlineStr">
        <is>
          <t>12-Mar</t>
        </is>
      </c>
      <c r="I80" s="189" t="n"/>
      <c r="J80" s="190" t="inlineStr">
        <is>
          <t>Raju Vernekar / Girish A / Harish Bhat</t>
        </is>
      </c>
      <c r="K80" s="190" t="n"/>
      <c r="L80" s="189" t="inlineStr">
        <is>
          <t>Offline</t>
        </is>
      </c>
      <c r="M80" s="189" t="n"/>
      <c r="N80" s="190" t="inlineStr">
        <is>
          <t>Tool building - C360</t>
        </is>
      </c>
      <c r="O80" s="190" t="n"/>
      <c r="P80" s="190" t="n"/>
      <c r="Q80" s="191" t="n">
        <v>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March 2026</t>
        </is>
      </c>
      <c r="C81" s="190" t="inlineStr">
        <is>
          <t>Support Training</t>
        </is>
      </c>
      <c r="D81" s="190" t="n"/>
      <c r="E81" s="190" t="inlineStr">
        <is>
          <t>Batch 1 - C360 Training</t>
        </is>
      </c>
      <c r="F81" s="190" t="n"/>
      <c r="G81" s="189" t="inlineStr">
        <is>
          <t>12-Mar</t>
        </is>
      </c>
      <c r="H81" s="189" t="inlineStr">
        <is>
          <t>On going</t>
        </is>
      </c>
      <c r="I81" s="189" t="n"/>
      <c r="J81" s="190" t="inlineStr">
        <is>
          <t>Freeda Reshma Dsouza</t>
        </is>
      </c>
      <c r="K81" s="190" t="n"/>
      <c r="L81" s="189" t="inlineStr">
        <is>
          <t>Offline</t>
        </is>
      </c>
      <c r="M81" s="189" t="n"/>
      <c r="N81" s="190" t="inlineStr">
        <is>
          <t>Batch 1 - C360 Training</t>
        </is>
      </c>
      <c r="O81" s="190" t="n"/>
      <c r="P81" s="190" t="n"/>
      <c r="Q81" s="191" t="n">
        <v>8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March 2026</t>
        </is>
      </c>
      <c r="C82" s="190" t="inlineStr">
        <is>
          <t>Assessment</t>
        </is>
      </c>
      <c r="D82" s="190" t="n"/>
      <c r="E82" s="190" t="inlineStr">
        <is>
          <t>Correction of Assessment - C360</t>
        </is>
      </c>
      <c r="F82" s="190" t="n"/>
      <c r="G82" s="189" t="inlineStr">
        <is>
          <t>12-Mar</t>
        </is>
      </c>
      <c r="H82" s="189" t="inlineStr">
        <is>
          <t>On going</t>
        </is>
      </c>
      <c r="I82" s="189" t="n"/>
      <c r="J82" s="190" t="inlineStr">
        <is>
          <t>Freeda Reshma Dsouza</t>
        </is>
      </c>
      <c r="K82" s="190" t="n"/>
      <c r="L82" s="189" t="inlineStr">
        <is>
          <t>Offline</t>
        </is>
      </c>
      <c r="M82" s="189" t="n"/>
      <c r="N82" s="190" t="inlineStr">
        <is>
          <t>Correction of Assessment - C360</t>
        </is>
      </c>
      <c r="O82" s="190" t="n"/>
      <c r="P82" s="190" t="n"/>
      <c r="Q82" s="191" t="n">
        <v>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March 2026</t>
        </is>
      </c>
      <c r="C83" s="190" t="inlineStr">
        <is>
          <t>Support Training</t>
        </is>
      </c>
      <c r="D83" s="190" t="n"/>
      <c r="E83" s="190" t="inlineStr">
        <is>
          <t>Report Generation - C360</t>
        </is>
      </c>
      <c r="F83" s="190" t="n"/>
      <c r="G83" s="189" t="inlineStr">
        <is>
          <t>12-Mar</t>
        </is>
      </c>
      <c r="H83" s="189" t="inlineStr">
        <is>
          <t>12-Mar</t>
        </is>
      </c>
      <c r="I83" s="189" t="n"/>
      <c r="J83" s="190" t="inlineStr">
        <is>
          <t>Raju Vernekar / Girish A / Harish Bhat</t>
        </is>
      </c>
      <c r="K83" s="190" t="n"/>
      <c r="L83" s="189" t="inlineStr">
        <is>
          <t>Offline</t>
        </is>
      </c>
      <c r="M83" s="189" t="n"/>
      <c r="N83" s="190" t="inlineStr">
        <is>
          <t>Report Generation - C360</t>
        </is>
      </c>
      <c r="O83" s="190" t="n"/>
      <c r="P83" s="190" t="n"/>
      <c r="Q83" s="191" t="n">
        <v>10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March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1-Mar</t>
        </is>
      </c>
      <c r="H84" s="189" t="inlineStr">
        <is>
          <t>On going</t>
        </is>
      </c>
      <c r="I84" s="189" t="n"/>
      <c r="J84" s="190" t="inlineStr">
        <is>
          <t>Raju Vernekar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104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March 2026</t>
        </is>
      </c>
      <c r="C85" s="190" t="inlineStr">
        <is>
          <t>Project Maven</t>
        </is>
      </c>
      <c r="D85" s="190" t="n"/>
      <c r="E85" s="190" t="inlineStr">
        <is>
          <t>Project Maven</t>
        </is>
      </c>
      <c r="F85" s="190" t="n"/>
      <c r="G85" s="189" t="inlineStr">
        <is>
          <t>1-Mar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Offline</t>
        </is>
      </c>
      <c r="M85" s="189" t="n"/>
      <c r="N85" s="190" t="inlineStr">
        <is>
          <t>Project Maven</t>
        </is>
      </c>
      <c r="O85" s="190" t="n"/>
      <c r="P85" s="190" t="n"/>
      <c r="Q85" s="191" t="n">
        <v>102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Varsity Team Session</t>
        </is>
      </c>
      <c r="D86" s="190" t="n"/>
      <c r="E86" s="190" t="inlineStr">
        <is>
          <t>Stock tips</t>
        </is>
      </c>
      <c r="F86" s="190" t="n"/>
      <c r="G86" s="189" t="inlineStr">
        <is>
          <t>27-Mar</t>
        </is>
      </c>
      <c r="H86" s="189" t="inlineStr">
        <is>
          <t>27-Mar</t>
        </is>
      </c>
      <c r="I86" s="189" t="n"/>
      <c r="J86" s="190" t="inlineStr">
        <is>
          <t>Gaurav Kumar</t>
        </is>
      </c>
      <c r="K86" s="190" t="n"/>
      <c r="L86" s="189" t="inlineStr">
        <is>
          <t>Online</t>
        </is>
      </c>
      <c r="M86" s="189" t="n"/>
      <c r="N86" s="190" t="inlineStr">
        <is>
          <t>New hire training</t>
        </is>
      </c>
      <c r="O86" s="190" t="n"/>
      <c r="P86" s="190" t="n"/>
      <c r="Q86" s="191" t="n">
        <v>1.5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April 2026</t>
        </is>
      </c>
      <c r="C87" s="190" t="inlineStr">
        <is>
          <t>Support Training</t>
        </is>
      </c>
      <c r="D87" s="190" t="n"/>
      <c r="E87" s="190" t="inlineStr">
        <is>
          <t>Batch 2 - C360 Training</t>
        </is>
      </c>
      <c r="F87" s="190" t="n"/>
      <c r="G87" s="189" t="inlineStr">
        <is>
          <t>7-Apr</t>
        </is>
      </c>
      <c r="H87" s="189" t="inlineStr">
        <is>
          <t>10-Apr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20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April 2026</t>
        </is>
      </c>
      <c r="C88" s="190" t="inlineStr">
        <is>
          <t>Support Training</t>
        </is>
      </c>
      <c r="D88" s="190" t="n"/>
      <c r="E88" s="190" t="inlineStr">
        <is>
          <t>Batch 3 - C360 Training</t>
        </is>
      </c>
      <c r="F88" s="190" t="n"/>
      <c r="G88" s="189" t="inlineStr">
        <is>
          <t>21-Apr</t>
        </is>
      </c>
      <c r="H88" s="189" t="inlineStr">
        <is>
          <t>24-Apr</t>
        </is>
      </c>
      <c r="I88" s="189" t="n"/>
      <c r="J88" s="190" t="inlineStr">
        <is>
          <t>Freeda Reshma Dsouza</t>
        </is>
      </c>
      <c r="K88" s="190" t="n"/>
      <c r="L88" s="189" t="inlineStr">
        <is>
          <t>Offline</t>
        </is>
      </c>
      <c r="M88" s="189" t="n"/>
      <c r="N88" s="190" t="inlineStr">
        <is>
          <t>Assessment - Communicate 360</t>
        </is>
      </c>
      <c r="O88" s="190" t="n"/>
      <c r="P88" s="190" t="n"/>
      <c r="Q88" s="191" t="n">
        <v>20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April 2026</t>
        </is>
      </c>
      <c r="C89" s="190" t="inlineStr">
        <is>
          <t>Support Training</t>
        </is>
      </c>
      <c r="D89" s="190" t="n"/>
      <c r="E89" s="190" t="inlineStr">
        <is>
          <t>Batch 2 - C360 (Girish)</t>
        </is>
      </c>
      <c r="F89" s="190" t="n"/>
      <c r="G89" s="189" t="inlineStr">
        <is>
          <t>21-Apr</t>
        </is>
      </c>
      <c r="H89" s="189" t="inlineStr">
        <is>
          <t>24-Apr</t>
        </is>
      </c>
      <c r="I89" s="189" t="n"/>
      <c r="J89" s="190" t="inlineStr">
        <is>
          <t>Girish A</t>
        </is>
      </c>
      <c r="K89" s="190" t="n"/>
      <c r="L89" s="189" t="inlineStr">
        <is>
          <t>Offline</t>
        </is>
      </c>
      <c r="M89" s="189" t="n"/>
      <c r="N89" s="190" t="inlineStr">
        <is>
          <t>Assessment - Communicate 360</t>
        </is>
      </c>
      <c r="O89" s="190" t="n"/>
      <c r="P89" s="190" t="n"/>
      <c r="Q89" s="191" t="n">
        <v>9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April 2026</t>
        </is>
      </c>
      <c r="C90" s="190" t="inlineStr">
        <is>
          <t>Support Training</t>
        </is>
      </c>
      <c r="D90" s="190" t="n"/>
      <c r="E90" s="190" t="inlineStr">
        <is>
          <t>Batch - C360 (Harish)</t>
        </is>
      </c>
      <c r="F90" s="190" t="n"/>
      <c r="G90" s="189" t="inlineStr">
        <is>
          <t>21-Apr</t>
        </is>
      </c>
      <c r="H90" s="189" t="inlineStr">
        <is>
          <t>24-Apr</t>
        </is>
      </c>
      <c r="I90" s="189" t="n"/>
      <c r="J90" s="190" t="inlineStr">
        <is>
          <t>Harish Bhat</t>
        </is>
      </c>
      <c r="K90" s="190" t="n"/>
      <c r="L90" s="189" t="inlineStr">
        <is>
          <t>Offline</t>
        </is>
      </c>
      <c r="M90" s="189" t="n"/>
      <c r="N90" s="190" t="inlineStr">
        <is>
          <t>Assessment - Communicate 360</t>
        </is>
      </c>
      <c r="O90" s="190" t="n"/>
      <c r="P90" s="190" t="n"/>
      <c r="Q90" s="191" t="n">
        <v>9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April 2026</t>
        </is>
      </c>
      <c r="C91" s="190" t="inlineStr">
        <is>
          <t>Support Training</t>
        </is>
      </c>
      <c r="D91" s="190" t="n"/>
      <c r="E91" s="190" t="inlineStr">
        <is>
          <t>Tool Building - C360 Modifications</t>
        </is>
      </c>
      <c r="F91" s="190" t="n"/>
      <c r="G91" s="189" t="inlineStr">
        <is>
          <t>13-Apr</t>
        </is>
      </c>
      <c r="H91" s="189" t="inlineStr">
        <is>
          <t>30-Apr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Tool Building - C360 Modifications</t>
        </is>
      </c>
      <c r="O91" s="190" t="n"/>
      <c r="P91" s="190" t="n"/>
      <c r="Q91" s="191" t="n">
        <v>15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April 2026</t>
        </is>
      </c>
      <c r="C92" s="190" t="inlineStr">
        <is>
          <t>Assessment</t>
        </is>
      </c>
      <c r="D92" s="190" t="n"/>
      <c r="E92" s="190" t="inlineStr">
        <is>
          <t>Batch 1 - Correction C360</t>
        </is>
      </c>
      <c r="F92" s="190" t="n"/>
      <c r="G92" s="189" t="inlineStr">
        <is>
          <t>11-Apr</t>
        </is>
      </c>
      <c r="H92" s="189" t="inlineStr">
        <is>
          <t>15-Apr</t>
        </is>
      </c>
      <c r="I92" s="189" t="n"/>
      <c r="J92" s="190" t="inlineStr">
        <is>
          <t>Freeda Reshma Dsouza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Correction of Assessment - C360</t>
        </is>
      </c>
      <c r="O92" s="190" t="n"/>
      <c r="P92" s="190" t="n"/>
      <c r="Q92" s="191" t="n">
        <v>30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April 2026</t>
        </is>
      </c>
      <c r="C93" s="190" t="inlineStr">
        <is>
          <t>Assessment</t>
        </is>
      </c>
      <c r="D93" s="190" t="n"/>
      <c r="E93" s="190" t="inlineStr">
        <is>
          <t>Batch 2 - Correction C360</t>
        </is>
      </c>
      <c r="F93" s="190" t="n"/>
      <c r="G93" s="189" t="inlineStr">
        <is>
          <t>27-Apr</t>
        </is>
      </c>
      <c r="H93" s="189" t="inlineStr">
        <is>
          <t>30-Apr</t>
        </is>
      </c>
      <c r="I93" s="189" t="n"/>
      <c r="J93" s="190" t="inlineStr">
        <is>
          <t>Girish A / Harish Bhat</t>
        </is>
      </c>
      <c r="K93" s="190" t="n"/>
      <c r="L93" s="189" t="inlineStr">
        <is>
          <t>Offline</t>
        </is>
      </c>
      <c r="M93" s="189" t="n"/>
      <c r="N93" s="190" t="inlineStr">
        <is>
          <t>Correction of Assessment - C360</t>
        </is>
      </c>
      <c r="O93" s="190" t="n"/>
      <c r="P93" s="190" t="n"/>
      <c r="Q93" s="191" t="n">
        <v>15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April 2026</t>
        </is>
      </c>
      <c r="C94" s="190" t="inlineStr">
        <is>
          <t>Support Training</t>
        </is>
      </c>
      <c r="D94" s="190" t="n"/>
      <c r="E94" s="190" t="inlineStr">
        <is>
          <t>Batch 1&amp;2 Report Generation</t>
        </is>
      </c>
      <c r="F94" s="190" t="n"/>
      <c r="G94" s="189" t="inlineStr">
        <is>
          <t>21-Apr</t>
        </is>
      </c>
      <c r="H94" s="189" t="inlineStr">
        <is>
          <t>21-Apr</t>
        </is>
      </c>
      <c r="I94" s="189" t="n"/>
      <c r="J94" s="190" t="inlineStr">
        <is>
          <t>Harish Bhat</t>
        </is>
      </c>
      <c r="K94" s="190" t="n"/>
      <c r="L94" s="189" t="inlineStr">
        <is>
          <t>Offline</t>
        </is>
      </c>
      <c r="M94" s="189" t="n"/>
      <c r="N94" s="190" t="inlineStr">
        <is>
          <t>Report Generation - C360</t>
        </is>
      </c>
      <c r="O94" s="190" t="n"/>
      <c r="P94" s="190" t="n"/>
      <c r="Q94" s="191" t="n">
        <v>8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Accop Training</t>
        </is>
      </c>
      <c r="D95" s="190" t="n"/>
      <c r="E95" s="190" t="inlineStr">
        <is>
          <t>Session on AML &amp; Stock tips</t>
        </is>
      </c>
      <c r="F95" s="190" t="n"/>
      <c r="G95" s="189" t="inlineStr">
        <is>
          <t>23-Apr</t>
        </is>
      </c>
      <c r="H95" s="189" t="inlineStr">
        <is>
          <t>23-Apr</t>
        </is>
      </c>
      <c r="I95" s="189" t="n"/>
      <c r="J95" s="190" t="inlineStr">
        <is>
          <t>Girish A</t>
        </is>
      </c>
      <c r="K95" s="190" t="n"/>
      <c r="L95" s="189" t="inlineStr">
        <is>
          <t>Online</t>
        </is>
      </c>
      <c r="M95" s="189" t="n"/>
      <c r="N95" s="190" t="inlineStr">
        <is>
          <t>AML &amp; Stock tips</t>
        </is>
      </c>
      <c r="O95" s="190" t="n"/>
      <c r="P95" s="190" t="n"/>
      <c r="Q95" s="191" t="n">
        <v>1.75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NRI Team Training</t>
        </is>
      </c>
      <c r="D96" s="190" t="n"/>
      <c r="E96" s="190" t="inlineStr">
        <is>
          <t>Session on AML &amp; Stock tips</t>
        </is>
      </c>
      <c r="F96" s="190" t="n"/>
      <c r="G96" s="189" t="inlineStr">
        <is>
          <t>27-Apr</t>
        </is>
      </c>
      <c r="H96" s="189" t="inlineStr">
        <is>
          <t>27-Apr</t>
        </is>
      </c>
      <c r="I96" s="189" t="n"/>
      <c r="J96" s="190" t="inlineStr">
        <is>
          <t>Harish Bhat</t>
        </is>
      </c>
      <c r="K96" s="190" t="n"/>
      <c r="L96" s="189" t="inlineStr">
        <is>
          <t>Online</t>
        </is>
      </c>
      <c r="M96" s="189" t="n"/>
      <c r="N96" s="190" t="inlineStr">
        <is>
          <t>AML &amp; Stock tips</t>
        </is>
      </c>
      <c r="O96" s="190" t="n"/>
      <c r="P96" s="190" t="n"/>
      <c r="Q96" s="191" t="n">
        <v>1.75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Fresh Hires Training</t>
        </is>
      </c>
      <c r="D97" s="190" t="n"/>
      <c r="E97" s="190" t="inlineStr">
        <is>
          <t>Session on AML &amp; Stock tips</t>
        </is>
      </c>
      <c r="F97" s="190" t="n"/>
      <c r="G97" s="189" t="inlineStr">
        <is>
          <t>29-Apr</t>
        </is>
      </c>
      <c r="H97" s="189" t="inlineStr">
        <is>
          <t>29-Apr</t>
        </is>
      </c>
      <c r="I97" s="189" t="n"/>
      <c r="J97" s="190" t="inlineStr">
        <is>
          <t>Girish A</t>
        </is>
      </c>
      <c r="K97" s="190" t="n"/>
      <c r="L97" s="189" t="inlineStr">
        <is>
          <t>Online</t>
        </is>
      </c>
      <c r="M97" s="189" t="n"/>
      <c r="N97" s="190" t="inlineStr">
        <is>
          <t>AML &amp; Stock tips</t>
        </is>
      </c>
      <c r="O97" s="190" t="n"/>
      <c r="P97" s="190" t="n"/>
      <c r="Q97" s="191" t="n">
        <v>0.75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Training Need Analysis</t>
        </is>
      </c>
      <c r="D98" s="190" t="n"/>
      <c r="E98" s="190" t="inlineStr">
        <is>
          <t>Understanding requirements from CS</t>
        </is>
      </c>
      <c r="F98" s="190" t="n"/>
      <c r="G98" s="189" t="inlineStr">
        <is>
          <t>16-Apr</t>
        </is>
      </c>
      <c r="H98" s="189" t="inlineStr">
        <is>
          <t>16-Apr</t>
        </is>
      </c>
      <c r="I98" s="189" t="n"/>
      <c r="J98" s="190" t="inlineStr">
        <is>
          <t>Freeda Reshma Dsouza</t>
        </is>
      </c>
      <c r="K98" s="190" t="n"/>
      <c r="L98" s="189" t="inlineStr">
        <is>
          <t>Online</t>
        </is>
      </c>
      <c r="M98" s="189" t="n"/>
      <c r="N98" s="190" t="inlineStr">
        <is>
          <t>Training Need Analysis</t>
        </is>
      </c>
      <c r="O98" s="190" t="n"/>
      <c r="P98" s="190" t="n"/>
      <c r="Q98" s="191" t="n">
        <v>1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Self Assessment Form</t>
        </is>
      </c>
      <c r="D99" s="190" t="n"/>
      <c r="E99" s="190" t="inlineStr">
        <is>
          <t>Building self assessment for CS</t>
        </is>
      </c>
      <c r="F99" s="190" t="n"/>
      <c r="G99" s="189" t="inlineStr">
        <is>
          <t>17-Apr</t>
        </is>
      </c>
      <c r="H99" s="189" t="inlineStr">
        <is>
          <t>17-Apr</t>
        </is>
      </c>
      <c r="I99" s="189" t="n"/>
      <c r="J99" s="190" t="inlineStr">
        <is>
          <t>Freeda Reshma Dsouza</t>
        </is>
      </c>
      <c r="K99" s="190" t="n"/>
      <c r="L99" s="189" t="inlineStr">
        <is>
          <t>Online</t>
        </is>
      </c>
      <c r="M99" s="189" t="n"/>
      <c r="N99" s="190" t="inlineStr">
        <is>
          <t>Self Assessment</t>
        </is>
      </c>
      <c r="O99" s="190" t="n"/>
      <c r="P99" s="190" t="n"/>
      <c r="Q99" s="191" t="n">
        <v>0.5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Varsity Scripts Writing</t>
        </is>
      </c>
      <c r="D100" s="190" t="n"/>
      <c r="E100" s="190" t="inlineStr">
        <is>
          <t>Script preparation</t>
        </is>
      </c>
      <c r="F100" s="190" t="n"/>
      <c r="G100" s="189" t="inlineStr">
        <is>
          <t>-</t>
        </is>
      </c>
      <c r="H100" s="189" t="inlineStr">
        <is>
          <t>-</t>
        </is>
      </c>
      <c r="I100" s="189" t="n"/>
      <c r="J100" s="190" t="inlineStr">
        <is>
          <t>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Varsity Scripts</t>
        </is>
      </c>
      <c r="O100" s="190" t="n"/>
      <c r="P100" s="190" t="n"/>
      <c r="Q100" s="191" t="n">
        <v>2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Varsity Video Shoot</t>
        </is>
      </c>
      <c r="D101" s="190" t="n"/>
      <c r="E101" s="190" t="inlineStr">
        <is>
          <t>Video recording</t>
        </is>
      </c>
      <c r="F101" s="190" t="n"/>
      <c r="G101" s="189" t="inlineStr">
        <is>
          <t>-</t>
        </is>
      </c>
      <c r="H101" s="189" t="inlineStr">
        <is>
          <t>-</t>
        </is>
      </c>
      <c r="I101" s="189" t="n"/>
      <c r="J101" s="190" t="inlineStr">
        <is>
          <t>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Varsity Videos</t>
        </is>
      </c>
      <c r="O101" s="190" t="n"/>
      <c r="P101" s="190" t="n"/>
      <c r="Q101" s="191" t="n">
        <v>2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Varsity Backend Support</t>
        </is>
      </c>
      <c r="D102" s="190" t="n"/>
      <c r="E102" s="190" t="inlineStr">
        <is>
          <t>Tickets, exam schedule</t>
        </is>
      </c>
      <c r="F102" s="190" t="n"/>
      <c r="G102" s="189" t="inlineStr">
        <is>
          <t>-</t>
        </is>
      </c>
      <c r="H102" s="189" t="inlineStr">
        <is>
          <t>-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Varsity Backend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Mock Calls</t>
        </is>
      </c>
      <c r="D103" s="190" t="n"/>
      <c r="E103" s="190" t="inlineStr">
        <is>
          <t>Mock calls for SM</t>
        </is>
      </c>
      <c r="F103" s="190" t="n"/>
      <c r="G103" s="189" t="inlineStr">
        <is>
          <t>30-Apr</t>
        </is>
      </c>
      <c r="H103" s="189" t="inlineStr">
        <is>
          <t>30-Apr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Mock calls</t>
        </is>
      </c>
      <c r="O103" s="190" t="n"/>
      <c r="P103" s="190" t="n"/>
      <c r="Q103" s="191" t="n">
        <v>2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Mock Calls</t>
        </is>
      </c>
      <c r="D104" s="190" t="n"/>
      <c r="E104" s="190" t="inlineStr">
        <is>
          <t>Mock calls for SM</t>
        </is>
      </c>
      <c r="F104" s="190" t="n"/>
      <c r="G104" s="189" t="inlineStr">
        <is>
          <t>30-Apr</t>
        </is>
      </c>
      <c r="H104" s="189" t="inlineStr">
        <is>
          <t>30-Apr</t>
        </is>
      </c>
      <c r="I104" s="189" t="n"/>
      <c r="J104" s="190" t="inlineStr">
        <is>
          <t>Girish A</t>
        </is>
      </c>
      <c r="K104" s="190" t="n"/>
      <c r="L104" s="189" t="inlineStr">
        <is>
          <t>Offline</t>
        </is>
      </c>
      <c r="M104" s="189" t="n"/>
      <c r="N104" s="190" t="inlineStr">
        <is>
          <t>Mock calls</t>
        </is>
      </c>
      <c r="O104" s="190" t="n"/>
      <c r="P104" s="190" t="n"/>
      <c r="Q104" s="191" t="n">
        <v>2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Ticket Tool Video</t>
        </is>
      </c>
      <c r="D105" s="190" t="n"/>
      <c r="E105" s="190" t="inlineStr">
        <is>
          <t>Video production</t>
        </is>
      </c>
      <c r="F105" s="190" t="n"/>
      <c r="G105" s="189" t="inlineStr">
        <is>
          <t>2-May</t>
        </is>
      </c>
      <c r="H105" s="189" t="inlineStr">
        <is>
          <t>2-May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Ticket Tool</t>
        </is>
      </c>
      <c r="O105" s="190" t="n"/>
      <c r="P105" s="190" t="n"/>
      <c r="Q105" s="191" t="n">
        <v>3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May 2026</t>
        </is>
      </c>
      <c r="C106" s="190" t="inlineStr">
        <is>
          <t>Support Training</t>
        </is>
      </c>
      <c r="D106" s="190" t="n"/>
      <c r="E106" s="190" t="inlineStr">
        <is>
          <t>Session on AML and unsolicited SMS and tips</t>
        </is>
      </c>
      <c r="F106" s="190" t="n"/>
      <c r="G106" s="189" t="inlineStr">
        <is>
          <t>2026-05-15</t>
        </is>
      </c>
      <c r="H106" s="189" t="inlineStr">
        <is>
          <t>—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Session on AML and unsolicited SMS and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May 2026</t>
        </is>
      </c>
      <c r="C107" s="190" t="inlineStr">
        <is>
          <t>Support Training</t>
        </is>
      </c>
      <c r="D107" s="190" t="n"/>
      <c r="E107" s="190" t="inlineStr">
        <is>
          <t>Session on AML and Unsolicited SMS &amp; Tips</t>
        </is>
      </c>
      <c r="F107" s="190" t="n"/>
      <c r="G107" s="189" t="inlineStr">
        <is>
          <t>2026-05-15</t>
        </is>
      </c>
      <c r="H107" s="189" t="inlineStr">
        <is>
          <t>—</t>
        </is>
      </c>
      <c r="I107" s="189" t="n"/>
      <c r="J107" s="190" t="inlineStr">
        <is>
          <t>Harish Bhat</t>
        </is>
      </c>
      <c r="K107" s="190" t="n"/>
      <c r="L107" s="189" t="inlineStr">
        <is>
          <t>Online</t>
        </is>
      </c>
      <c r="M107" s="189" t="n"/>
      <c r="N107" s="190" t="inlineStr">
        <is>
          <t>Session on AML and Unsolicited SMS &amp; Tips</t>
        </is>
      </c>
      <c r="O107" s="190" t="n"/>
      <c r="P107" s="190" t="n"/>
      <c r="Q107" s="191" t="n">
        <v>0.75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May 2026</t>
        </is>
      </c>
      <c r="C108" s="190" t="inlineStr">
        <is>
          <t>Support Training</t>
        </is>
      </c>
      <c r="D108" s="190" t="n"/>
      <c r="E108" s="190" t="inlineStr">
        <is>
          <t>Meeting with CS</t>
        </is>
      </c>
      <c r="F108" s="190" t="n"/>
      <c r="G108" s="189" t="inlineStr">
        <is>
          <t>2026-05-18</t>
        </is>
      </c>
      <c r="H108" s="189" t="inlineStr">
        <is>
          <t>—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Meeting with CS</t>
        </is>
      </c>
      <c r="O108" s="190" t="n"/>
      <c r="P108" s="190" t="n"/>
      <c r="Q108" s="191" t="n">
        <v>0.25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May 2026</t>
        </is>
      </c>
      <c r="C109" s="190" t="inlineStr">
        <is>
          <t>Support Training</t>
        </is>
      </c>
      <c r="D109" s="190" t="n"/>
      <c r="E109" s="190" t="inlineStr">
        <is>
          <t>Session on Primary and Secondary transfer of securities and SOPs of Abusive calls</t>
        </is>
      </c>
      <c r="F109" s="190" t="n"/>
      <c r="G109" s="189" t="inlineStr">
        <is>
          <t>2026-05-22</t>
        </is>
      </c>
      <c r="H109" s="189" t="inlineStr">
        <is>
          <t>—</t>
        </is>
      </c>
      <c r="I109" s="189" t="n"/>
      <c r="J109" s="190" t="inlineStr">
        <is>
          <t>Girish A</t>
        </is>
      </c>
      <c r="K109" s="190" t="n"/>
      <c r="L109" s="189" t="inlineStr">
        <is>
          <t>Online</t>
        </is>
      </c>
      <c r="M109" s="189" t="n"/>
      <c r="N109" s="190" t="inlineStr">
        <is>
          <t>Session on Primary and Secondary transfer of securities and SOPs of Abusive calls</t>
        </is>
      </c>
      <c r="O109" s="190" t="n"/>
      <c r="P109" s="190" t="n"/>
      <c r="Q109" s="191" t="n">
        <v>1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May 2026</t>
        </is>
      </c>
      <c r="C110" s="190" t="inlineStr">
        <is>
          <t>Support Training</t>
        </is>
      </c>
      <c r="D110" s="190" t="n"/>
      <c r="E110" s="190" t="inlineStr">
        <is>
          <t>Session on Primary and Secondary transfer of securities and SOPs of Abusive calls</t>
        </is>
      </c>
      <c r="F110" s="190" t="n"/>
      <c r="G110" s="189" t="inlineStr">
        <is>
          <t>2026-05-22</t>
        </is>
      </c>
      <c r="H110" s="189" t="inlineStr">
        <is>
          <t>—</t>
        </is>
      </c>
      <c r="I110" s="189" t="n"/>
      <c r="J110" s="190" t="inlineStr">
        <is>
          <t>Girish A</t>
        </is>
      </c>
      <c r="K110" s="190" t="n"/>
      <c r="L110" s="189" t="inlineStr">
        <is>
          <t>Online</t>
        </is>
      </c>
      <c r="M110" s="189" t="n"/>
      <c r="N110" s="190" t="inlineStr">
        <is>
          <t>Session on Primary and Secondary transfer of securities and SOPs of Abusive calls</t>
        </is>
      </c>
      <c r="O110" s="190" t="n"/>
      <c r="P110" s="190" t="n"/>
      <c r="Q110" s="191" t="n">
        <v>1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May 2026</t>
        </is>
      </c>
      <c r="C111" s="190" t="inlineStr">
        <is>
          <t>Support Training</t>
        </is>
      </c>
      <c r="D111" s="190" t="n"/>
      <c r="E111" s="190" t="inlineStr">
        <is>
          <t>Reviweing the Mock call and Pick &amp; Speak Assessments</t>
        </is>
      </c>
      <c r="F111" s="190" t="n"/>
      <c r="G111" s="189" t="inlineStr">
        <is>
          <t>2026-05-18</t>
        </is>
      </c>
      <c r="H111" s="189" t="inlineStr">
        <is>
          <t>—</t>
        </is>
      </c>
      <c r="I111" s="189" t="n"/>
      <c r="J111" s="190" t="inlineStr">
        <is>
          <t>Girish A</t>
        </is>
      </c>
      <c r="K111" s="190" t="n"/>
      <c r="L111" s="189" t="inlineStr">
        <is>
          <t>Online</t>
        </is>
      </c>
      <c r="M111" s="189" t="n"/>
      <c r="N111" s="190" t="inlineStr">
        <is>
          <t>Reviweing the Mock call and Pick &amp; Speak Assessments</t>
        </is>
      </c>
      <c r="O111" s="190" t="n"/>
      <c r="P111" s="190" t="n"/>
      <c r="Q111" s="191" t="n">
        <v>2.5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May 2026</t>
        </is>
      </c>
      <c r="C112" s="190" t="inlineStr">
        <is>
          <t>Support Training</t>
        </is>
      </c>
      <c r="D112" s="190" t="n"/>
      <c r="E112" s="190" t="inlineStr">
        <is>
          <t>AML &amp; Unsolicited SMS training</t>
        </is>
      </c>
      <c r="F112" s="190" t="n"/>
      <c r="G112" s="189" t="inlineStr">
        <is>
          <t>2026-05-08</t>
        </is>
      </c>
      <c r="H112" s="189" t="inlineStr">
        <is>
          <t>—</t>
        </is>
      </c>
      <c r="I112" s="189" t="n"/>
      <c r="J112" s="190" t="inlineStr">
        <is>
          <t>Girish A</t>
        </is>
      </c>
      <c r="K112" s="190" t="n"/>
      <c r="L112" s="189" t="inlineStr">
        <is>
          <t>Online</t>
        </is>
      </c>
      <c r="M112" s="189" t="n"/>
      <c r="N112" s="190" t="inlineStr">
        <is>
          <t>AML &amp; Unsolicited SMS training</t>
        </is>
      </c>
      <c r="O112" s="190" t="n"/>
      <c r="P112" s="190" t="n"/>
      <c r="Q112" s="191" t="n">
        <v>0.75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May 2026</t>
        </is>
      </c>
      <c r="C113" s="190" t="inlineStr">
        <is>
          <t>Support Training</t>
        </is>
      </c>
      <c r="D113" s="190" t="n"/>
      <c r="E113" s="190" t="inlineStr">
        <is>
          <t>Session on Primary and Secondary transfer of securities and SOPs of Abusive calls</t>
        </is>
      </c>
      <c r="F113" s="190" t="n"/>
      <c r="G113" s="189" t="inlineStr">
        <is>
          <t>2026-05-20</t>
        </is>
      </c>
      <c r="H113" s="189" t="inlineStr">
        <is>
          <t>—</t>
        </is>
      </c>
      <c r="I113" s="189" t="n"/>
      <c r="J113" s="190" t="inlineStr">
        <is>
          <t>Girish A</t>
        </is>
      </c>
      <c r="K113" s="190" t="n"/>
      <c r="L113" s="189" t="inlineStr">
        <is>
          <t>Online</t>
        </is>
      </c>
      <c r="M113" s="189" t="n"/>
      <c r="N113" s="190" t="inlineStr">
        <is>
          <t>Session on Primary and Secondary transfer of securities and SOPs of Abusive calls</t>
        </is>
      </c>
      <c r="O113" s="190" t="n"/>
      <c r="P113" s="190" t="n"/>
      <c r="Q113" s="191" t="n">
        <v>1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Other</t>
        </is>
      </c>
      <c r="D114" s="190" t="n"/>
      <c r="E114" s="190" t="inlineStr">
        <is>
          <t>Meeting with legal team</t>
        </is>
      </c>
      <c r="F114" s="190" t="n"/>
      <c r="G114" s="189" t="inlineStr">
        <is>
          <t>2026-05-12</t>
        </is>
      </c>
      <c r="H114" s="189" t="inlineStr">
        <is>
          <t>—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Rupeetales meeting</t>
        </is>
      </c>
      <c r="O114" s="190" t="n"/>
      <c r="P114" s="190" t="n"/>
      <c r="Q114" s="191" t="n">
        <v>0.5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Training for CS</t>
        </is>
      </c>
      <c r="F115" s="190" t="n"/>
      <c r="G115" s="189" t="inlineStr">
        <is>
          <t>2026-05-19</t>
        </is>
      </c>
      <c r="H115" s="189" t="inlineStr">
        <is>
          <t>—</t>
        </is>
      </c>
      <c r="I115" s="189" t="n"/>
      <c r="J115" s="190" t="inlineStr">
        <is>
          <t>Freeda Reshma Dsouza</t>
        </is>
      </c>
      <c r="K115" s="190" t="n"/>
      <c r="L115" s="189" t="inlineStr">
        <is>
          <t>Online</t>
        </is>
      </c>
      <c r="M115" s="189" t="n"/>
      <c r="N115" s="190" t="inlineStr">
        <is>
          <t>Training for CS</t>
        </is>
      </c>
      <c r="O115" s="190" t="n"/>
      <c r="P115" s="190" t="n"/>
      <c r="Q115" s="191" t="n">
        <v>1.5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Primary and Secondary transfer of securities and SOPs of Abusive calls</t>
        </is>
      </c>
      <c r="F116" s="190" t="n"/>
      <c r="G116" s="189" t="inlineStr">
        <is>
          <t>2026-05-20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Primary and Secondary transfer of securities and SOPs of Abusive calls</t>
        </is>
      </c>
      <c r="O116" s="190" t="n"/>
      <c r="P116" s="190" t="n"/>
      <c r="Q116" s="191" t="n">
        <v>1.25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 ·  Harish</t>
        </is>
      </c>
      <c r="F117" s="190" t="n"/>
      <c r="G117" s="189" t="inlineStr">
        <is>
          <t>2026-05-21</t>
        </is>
      </c>
      <c r="H117" s="189" t="inlineStr">
        <is>
          <t>—</t>
        </is>
      </c>
      <c r="I117" s="189" t="n"/>
      <c r="J117" s="190" t="inlineStr">
        <is>
          <t>Harish Bhat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 ·  Harish</t>
        </is>
      </c>
      <c r="O117" s="190" t="n"/>
      <c r="P117" s="190" t="n"/>
      <c r="Q117" s="191" t="n">
        <v>1.25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Sadique team</t>
        </is>
      </c>
      <c r="F118" s="190" t="n"/>
      <c r="G118" s="189" t="inlineStr">
        <is>
          <t>2026-05-04</t>
        </is>
      </c>
      <c r="H118" s="189" t="inlineStr">
        <is>
          <t>—</t>
        </is>
      </c>
      <c r="I118" s="189" t="n"/>
      <c r="J118" s="190" t="inlineStr">
        <is>
          <t>Freeda Reshma Dsouza</t>
        </is>
      </c>
      <c r="K118" s="190" t="n"/>
      <c r="L118" s="189" t="inlineStr">
        <is>
          <t>Offline</t>
        </is>
      </c>
      <c r="M118" s="189" t="n"/>
      <c r="N118" s="190" t="inlineStr">
        <is>
          <t>Communicate 360- Anish's team</t>
        </is>
      </c>
      <c r="O118" s="190" t="n"/>
      <c r="P118" s="190" t="n"/>
      <c r="Q118" s="191" t="n">
        <v>4.5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Communicate 360- Anish's team</t>
        </is>
      </c>
      <c r="F119" s="190" t="n"/>
      <c r="G119" s="189" t="inlineStr">
        <is>
          <t>2026-05-05</t>
        </is>
      </c>
      <c r="H119" s="189" t="inlineStr">
        <is>
          <t>—</t>
        </is>
      </c>
      <c r="I119" s="189" t="n"/>
      <c r="J119" s="190" t="inlineStr">
        <is>
          <t>Freeda Reshma Dsouza</t>
        </is>
      </c>
      <c r="K119" s="190" t="n"/>
      <c r="L119" s="189" t="inlineStr">
        <is>
          <t>Offline</t>
        </is>
      </c>
      <c r="M119" s="189" t="n"/>
      <c r="N119" s="190" t="inlineStr">
        <is>
          <t>Communicate 360- Anish's team</t>
        </is>
      </c>
      <c r="O119" s="190" t="n"/>
      <c r="P119" s="190" t="n"/>
      <c r="Q119" s="191" t="n">
        <v>4.5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Communicate 360- Anish's team</t>
        </is>
      </c>
      <c r="F120" s="190" t="n"/>
      <c r="G120" s="189" t="inlineStr">
        <is>
          <t>2026-05-06</t>
        </is>
      </c>
      <c r="H120" s="189" t="inlineStr">
        <is>
          <t>—</t>
        </is>
      </c>
      <c r="I120" s="189" t="n"/>
      <c r="J120" s="190" t="inlineStr">
        <is>
          <t>Freeda Reshma Dsouza</t>
        </is>
      </c>
      <c r="K120" s="190" t="n"/>
      <c r="L120" s="189" t="inlineStr">
        <is>
          <t>Offline</t>
        </is>
      </c>
      <c r="M120" s="189" t="n"/>
      <c r="N120" s="190" t="inlineStr">
        <is>
          <t>Communicate 360- Anish's team</t>
        </is>
      </c>
      <c r="O120" s="190" t="n"/>
      <c r="P120" s="190" t="n"/>
      <c r="Q120" s="191" t="n">
        <v>3.5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Communicate 360- Anish's team</t>
        </is>
      </c>
      <c r="F121" s="190" t="n"/>
      <c r="G121" s="189" t="inlineStr">
        <is>
          <t>2026-05-07</t>
        </is>
      </c>
      <c r="H121" s="189" t="inlineStr">
        <is>
          <t>—</t>
        </is>
      </c>
      <c r="I121" s="189" t="n"/>
      <c r="J121" s="190" t="inlineStr">
        <is>
          <t>Freeda Reshma Dsouza</t>
        </is>
      </c>
      <c r="K121" s="190" t="n"/>
      <c r="L121" s="189" t="inlineStr">
        <is>
          <t>Offline</t>
        </is>
      </c>
      <c r="M121" s="189" t="n"/>
      <c r="N121" s="190" t="inlineStr">
        <is>
          <t>Communicate 360- Anish's team</t>
        </is>
      </c>
      <c r="O121" s="190" t="n"/>
      <c r="P121" s="190" t="n"/>
      <c r="Q121" s="191" t="n">
        <v>3.5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Review on Pick &amp; Speak</t>
        </is>
      </c>
      <c r="F122" s="190" t="n"/>
      <c r="G122" s="189" t="inlineStr">
        <is>
          <t>2026-05-07</t>
        </is>
      </c>
      <c r="H122" s="189" t="inlineStr">
        <is>
          <t>—</t>
        </is>
      </c>
      <c r="I122" s="189" t="n"/>
      <c r="J122" s="190" t="inlineStr">
        <is>
          <t>Freeda Reshma Dsouza</t>
        </is>
      </c>
      <c r="K122" s="190" t="n"/>
      <c r="L122" s="189" t="inlineStr">
        <is>
          <t>Online</t>
        </is>
      </c>
      <c r="M122" s="189" t="n"/>
      <c r="N122" s="190" t="inlineStr">
        <is>
          <t>Review on Pick &amp; Speak</t>
        </is>
      </c>
      <c r="O122" s="190" t="n"/>
      <c r="P122" s="190" t="n"/>
      <c r="Q122" s="191" t="n">
        <v>2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Session on Unsolicited SMS and Tips</t>
        </is>
      </c>
      <c r="F123" s="190" t="n"/>
      <c r="G123" s="189" t="inlineStr">
        <is>
          <t>2026-05-27</t>
        </is>
      </c>
      <c r="H123" s="189" t="inlineStr">
        <is>
          <t>—</t>
        </is>
      </c>
      <c r="I123" s="189" t="n"/>
      <c r="J123" s="190" t="inlineStr">
        <is>
          <t>Girish A</t>
        </is>
      </c>
      <c r="K123" s="190" t="n"/>
      <c r="L123" s="189" t="inlineStr">
        <is>
          <t>Online</t>
        </is>
      </c>
      <c r="M123" s="189" t="n"/>
      <c r="N123" s="190" t="inlineStr">
        <is>
          <t>Session on Unsolicited SMS and Tips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2026-05-25</t>
        </is>
      </c>
      <c r="H125" s="189" t="inlineStr">
        <is>
          <t>—</t>
        </is>
      </c>
      <c r="I125" s="189" t="n"/>
      <c r="J125" s="190" t="inlineStr">
        <is>
          <t>Girish A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Unsolicited SMS and Tips</t>
        </is>
      </c>
      <c r="F126" s="190" t="n"/>
      <c r="G126" s="189" t="inlineStr">
        <is>
          <t>2026-05-27</t>
        </is>
      </c>
      <c r="H126" s="189" t="inlineStr">
        <is>
          <t>—</t>
        </is>
      </c>
      <c r="I126" s="189" t="n"/>
      <c r="J126" s="190" t="inlineStr">
        <is>
          <t>Girish A</t>
        </is>
      </c>
      <c r="K126" s="190" t="n"/>
      <c r="L126" s="189" t="inlineStr">
        <is>
          <t>Online</t>
        </is>
      </c>
      <c r="M126" s="189" t="n"/>
      <c r="N126" s="190" t="inlineStr">
        <is>
          <t>Session on Unsolicited SMS and Tips</t>
        </is>
      </c>
      <c r="O126" s="190" t="n"/>
      <c r="P126" s="190" t="n"/>
      <c r="Q126" s="191" t="n">
        <v>1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89" t="inlineStr">
        <is>
          <t>May 2026</t>
        </is>
      </c>
      <c r="C127" s="190" t="inlineStr">
        <is>
          <t>Assessment</t>
        </is>
      </c>
      <c r="D127" s="190" t="n"/>
      <c r="E127" s="190" t="inlineStr">
        <is>
          <t>Reviweing the Mock call and Pick &amp; Speak Assessments</t>
        </is>
      </c>
      <c r="F127" s="190" t="n"/>
      <c r="G127" s="189" t="inlineStr">
        <is>
          <t>2026-05-18</t>
        </is>
      </c>
      <c r="H127" s="189" t="inlineStr">
        <is>
          <t>—</t>
        </is>
      </c>
      <c r="I127" s="189" t="n"/>
      <c r="J127" s="190" t="inlineStr">
        <is>
          <t>Harish Bhat</t>
        </is>
      </c>
      <c r="K127" s="190" t="n"/>
      <c r="L127" s="189" t="inlineStr">
        <is>
          <t>Online</t>
        </is>
      </c>
      <c r="M127" s="189" t="n"/>
      <c r="N127" s="190" t="inlineStr">
        <is>
          <t>Reviweing the Mock call and Pick &amp; Speak Assessments</t>
        </is>
      </c>
      <c r="O127" s="190" t="n"/>
      <c r="P127" s="190" t="n"/>
      <c r="Q127" s="191" t="n">
        <v>2.5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89" t="inlineStr">
        <is>
          <t>May 2026</t>
        </is>
      </c>
      <c r="C128" s="190" t="inlineStr">
        <is>
          <t>Other</t>
        </is>
      </c>
      <c r="D128" s="190" t="n"/>
      <c r="E128" s="190" t="inlineStr">
        <is>
          <t>Varsity shoot</t>
        </is>
      </c>
      <c r="F128" s="190" t="n"/>
      <c r="G128" s="189" t="inlineStr">
        <is>
          <t>2026-05-22</t>
        </is>
      </c>
      <c r="H128" s="189" t="inlineStr">
        <is>
          <t>—</t>
        </is>
      </c>
      <c r="I128" s="189" t="n"/>
      <c r="J128" s="190" t="inlineStr">
        <is>
          <t>Harish Bhat</t>
        </is>
      </c>
      <c r="K128" s="190" t="n"/>
      <c r="L128" s="189" t="inlineStr">
        <is>
          <t>Offline</t>
        </is>
      </c>
      <c r="M128" s="189" t="n"/>
      <c r="N128" s="190" t="inlineStr">
        <is>
          <t>Varsity shoot</t>
        </is>
      </c>
      <c r="O128" s="190" t="n"/>
      <c r="P128" s="190" t="n"/>
      <c r="Q128" s="191" t="n">
        <v>1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Session on Primary and Secondary transfer of securities and SOPs of Abusive calls</t>
        </is>
      </c>
      <c r="F129" s="190" t="n"/>
      <c r="G129" s="189" t="inlineStr">
        <is>
          <t>2026-05-22</t>
        </is>
      </c>
      <c r="H129" s="189" t="inlineStr">
        <is>
          <t>—</t>
        </is>
      </c>
      <c r="I129" s="189" t="n"/>
      <c r="J129" s="190" t="inlineStr">
        <is>
          <t>Harish Bhat</t>
        </is>
      </c>
      <c r="K129" s="190" t="n"/>
      <c r="L129" s="189" t="inlineStr">
        <is>
          <t>Online</t>
        </is>
      </c>
      <c r="M129" s="189" t="n"/>
      <c r="N129" s="190" t="inlineStr">
        <is>
          <t>Session on Primary and Secondary transfer of securities and SOPs of Abusive calls</t>
        </is>
      </c>
      <c r="O129" s="190" t="n"/>
      <c r="P129" s="190" t="n"/>
      <c r="Q129" s="191" t="n">
        <v>1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89" t="inlineStr">
        <is>
          <t>May 2026</t>
        </is>
      </c>
      <c r="C130" s="190" t="inlineStr">
        <is>
          <t>Other</t>
        </is>
      </c>
      <c r="D130" s="190" t="n"/>
      <c r="E130" s="190" t="inlineStr">
        <is>
          <t>Preperation for Session on Primary and Secondary transfer of securities and SOPs of Abusive calls</t>
        </is>
      </c>
      <c r="F130" s="190" t="n"/>
      <c r="G130" s="189" t="inlineStr">
        <is>
          <t>2026-05-19</t>
        </is>
      </c>
      <c r="H130" s="189" t="inlineStr">
        <is>
          <t>—</t>
        </is>
      </c>
      <c r="I130" s="189" t="n"/>
      <c r="J130" s="190" t="inlineStr">
        <is>
          <t>Harish Bhat</t>
        </is>
      </c>
      <c r="K130" s="190" t="n"/>
      <c r="L130" s="189" t="inlineStr">
        <is>
          <t>Online</t>
        </is>
      </c>
      <c r="M130" s="189" t="n"/>
      <c r="N130" s="190" t="inlineStr">
        <is>
          <t>Preperation for Session on Primary and Secondary transfer of securities and SOPs of Abusive calls</t>
        </is>
      </c>
      <c r="O130" s="190" t="n"/>
      <c r="P130" s="190" t="n"/>
      <c r="Q130" s="191" t="n">
        <v>6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89" t="inlineStr">
        <is>
          <t>May 2026</t>
        </is>
      </c>
      <c r="C131" s="190" t="inlineStr">
        <is>
          <t>Other</t>
        </is>
      </c>
      <c r="D131" s="190" t="n"/>
      <c r="E131" s="190" t="inlineStr">
        <is>
          <t>Varsity script work</t>
        </is>
      </c>
      <c r="F131" s="190" t="n"/>
      <c r="G131" s="189" t="inlineStr">
        <is>
          <t>2026-05-13</t>
        </is>
      </c>
      <c r="H131" s="189" t="inlineStr">
        <is>
          <t>—</t>
        </is>
      </c>
      <c r="I131" s="189" t="n"/>
      <c r="J131" s="190" t="inlineStr">
        <is>
          <t>Harish Bhat</t>
        </is>
      </c>
      <c r="K131" s="190" t="n"/>
      <c r="L131" s="189" t="inlineStr">
        <is>
          <t>Online</t>
        </is>
      </c>
      <c r="M131" s="189" t="n"/>
      <c r="N131" s="190" t="inlineStr">
        <is>
          <t>Varsity script work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89" t="inlineStr">
        <is>
          <t>May 2026</t>
        </is>
      </c>
      <c r="C132" s="190" t="inlineStr">
        <is>
          <t>Other</t>
        </is>
      </c>
      <c r="D132" s="190" t="n"/>
      <c r="E132" s="190" t="inlineStr">
        <is>
          <t>Varsity script work</t>
        </is>
      </c>
      <c r="F132" s="190" t="n"/>
      <c r="G132" s="189" t="inlineStr">
        <is>
          <t>2026-05-11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Varsity script work</t>
        </is>
      </c>
      <c r="O132" s="190" t="n"/>
      <c r="P132" s="190" t="n"/>
      <c r="Q132" s="191" t="n">
        <v>2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inlineStr">
        <is>
          <t>May 2026</t>
        </is>
      </c>
      <c r="C133" s="190" t="inlineStr">
        <is>
          <t>Assessment</t>
        </is>
      </c>
      <c r="D133" s="190" t="n"/>
      <c r="E133" s="190" t="inlineStr">
        <is>
          <t>Communicate 360- Anish's team · proctoring</t>
        </is>
      </c>
      <c r="F133" s="190" t="n"/>
      <c r="G133" s="189" t="inlineStr">
        <is>
          <t>2026-05-11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Offline</t>
        </is>
      </c>
      <c r="M133" s="189" t="n"/>
      <c r="N133" s="190" t="inlineStr">
        <is>
          <t>Communicate 360- Anish's team · proctoring</t>
        </is>
      </c>
      <c r="O133" s="190" t="n"/>
      <c r="P133" s="190" t="n"/>
      <c r="Q133" s="191" t="n">
        <v>2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inlineStr">
        <is>
          <t>May 2026</t>
        </is>
      </c>
      <c r="C134" s="190" t="inlineStr">
        <is>
          <t>Assessment</t>
        </is>
      </c>
      <c r="D134" s="190" t="n"/>
      <c r="E134" s="190" t="inlineStr">
        <is>
          <t>Communicate 360- Anish's team · proctoring</t>
        </is>
      </c>
      <c r="F134" s="190" t="n"/>
      <c r="G134" s="189" t="inlineStr">
        <is>
          <t>2026-05-12</t>
        </is>
      </c>
      <c r="H134" s="189" t="inlineStr">
        <is>
          <t>—</t>
        </is>
      </c>
      <c r="I134" s="189" t="n"/>
      <c r="J134" s="190" t="inlineStr">
        <is>
          <t>Harish Bhat</t>
        </is>
      </c>
      <c r="K134" s="190" t="n"/>
      <c r="L134" s="189" t="inlineStr">
        <is>
          <t>Offline</t>
        </is>
      </c>
      <c r="M134" s="189" t="n"/>
      <c r="N134" s="190" t="inlineStr">
        <is>
          <t>Communicate 360- Anish's team · proctoring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Communicate 360- Anish's team · proctoring  &amp; mockcall</t>
        </is>
      </c>
      <c r="F135" s="190" t="n"/>
      <c r="G135" s="189" t="inlineStr">
        <is>
          <t>2026-05-14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Offline</t>
        </is>
      </c>
      <c r="M135" s="189" t="n"/>
      <c r="N135" s="190" t="inlineStr">
        <is>
          <t>Communicate 360- Anish's team · proctoring  &amp; mockcall</t>
        </is>
      </c>
      <c r="O135" s="190" t="n"/>
      <c r="P135" s="190" t="n"/>
      <c r="Q135" s="191" t="n">
        <v>4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QOD Preperation</t>
        </is>
      </c>
      <c r="F136" s="190" t="n"/>
      <c r="G136" s="189" t="inlineStr">
        <is>
          <t>2026-05-27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QOD Preperation</t>
        </is>
      </c>
      <c r="O136" s="190" t="n"/>
      <c r="P136" s="190" t="n"/>
      <c r="Q136" s="191" t="n">
        <v>0.5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tickets</t>
        </is>
      </c>
      <c r="F137" s="190" t="n"/>
      <c r="G137" s="189" t="inlineStr">
        <is>
          <t>2026-05-04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varsity tickets</t>
        </is>
      </c>
      <c r="O137" s="190" t="n"/>
      <c r="P137" s="190" t="n"/>
      <c r="Q137" s="191" t="n">
        <v>0.25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varsity tickets</t>
        </is>
      </c>
      <c r="F138" s="190" t="n"/>
      <c r="G138" s="189" t="inlineStr">
        <is>
          <t>2026-05-05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varsity tickets</t>
        </is>
      </c>
      <c r="O138" s="190" t="n"/>
      <c r="P138" s="190" t="n"/>
      <c r="Q138" s="191" t="n">
        <v>0.25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tickets</t>
        </is>
      </c>
      <c r="F139" s="190" t="n"/>
      <c r="G139" s="189" t="inlineStr">
        <is>
          <t>2026-05-06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tickets</t>
        </is>
      </c>
      <c r="O139" s="190" t="n"/>
      <c r="P139" s="190" t="n"/>
      <c r="Q139" s="191" t="n">
        <v>0.25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Support Training</t>
        </is>
      </c>
      <c r="D140" s="190" t="n"/>
      <c r="E140" s="190" t="inlineStr">
        <is>
          <t>Communicate 360- Anish's team · proctoring</t>
        </is>
      </c>
      <c r="F140" s="190" t="n"/>
      <c r="G140" s="189" t="inlineStr">
        <is>
          <t>2026-05-04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Offline</t>
        </is>
      </c>
      <c r="M140" s="189" t="n"/>
      <c r="N140" s="190" t="inlineStr">
        <is>
          <t>Communicate 360- Anish's team · proctoring</t>
        </is>
      </c>
      <c r="O140" s="190" t="n"/>
      <c r="P140" s="190" t="n"/>
      <c r="Q140" s="191" t="n">
        <v>3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Support Training</t>
        </is>
      </c>
      <c r="D141" s="190" t="n"/>
      <c r="E141" s="190" t="inlineStr">
        <is>
          <t>Communicate 360- Anish's team</t>
        </is>
      </c>
      <c r="F141" s="190" t="n"/>
      <c r="G141" s="189" t="inlineStr">
        <is>
          <t>2026-05-05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</t>
        </is>
      </c>
      <c r="O141" s="190" t="n"/>
      <c r="P141" s="190" t="n"/>
      <c r="Q141" s="191" t="n">
        <v>3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Support Training</t>
        </is>
      </c>
      <c r="D142" s="190" t="n"/>
      <c r="E142" s="190" t="inlineStr">
        <is>
          <t>Communicate 360- Anish's team proctoring</t>
        </is>
      </c>
      <c r="F142" s="190" t="n"/>
      <c r="G142" s="189" t="inlineStr">
        <is>
          <t>2026-05-06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Review on Pick &amp; Speak &amp; mockcall</t>
        </is>
      </c>
      <c r="F143" s="190" t="n"/>
      <c r="G143" s="189" t="inlineStr">
        <is>
          <t>2026-05-08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Online</t>
        </is>
      </c>
      <c r="M143" s="189" t="n"/>
      <c r="N143" s="190" t="inlineStr">
        <is>
          <t>Review on Pick &amp; Speak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Assessment</t>
        </is>
      </c>
      <c r="D144" s="190" t="n"/>
      <c r="E144" s="190" t="inlineStr">
        <is>
          <t>Communicate 360- Anish's team · proctoring</t>
        </is>
      </c>
      <c r="F144" s="190" t="n"/>
      <c r="G144" s="189" t="inlineStr">
        <is>
          <t>2026-05-11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</t>
        </is>
      </c>
      <c r="O144" s="190" t="n"/>
      <c r="P144" s="190" t="n"/>
      <c r="Q144" s="191" t="n">
        <v>3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Assessment</t>
        </is>
      </c>
      <c r="D145" s="190" t="n"/>
      <c r="E145" s="190" t="inlineStr">
        <is>
          <t>Communicate 360- Anish's team · proctoring</t>
        </is>
      </c>
      <c r="F145" s="190" t="n"/>
      <c r="G145" s="189" t="inlineStr">
        <is>
          <t>2026-05-12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Communicate 360- Anish's team · proctoring</t>
        </is>
      </c>
      <c r="O145" s="190" t="n"/>
      <c r="P145" s="190" t="n"/>
      <c r="Q145" s="191" t="n">
        <v>1.5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Assessment</t>
        </is>
      </c>
      <c r="D146" s="190" t="n"/>
      <c r="E146" s="190" t="inlineStr">
        <is>
          <t>Communicate 360- Anish's team · proctoring</t>
        </is>
      </c>
      <c r="F146" s="190" t="n"/>
      <c r="G146" s="189" t="inlineStr">
        <is>
          <t>2026-05-13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Offline</t>
        </is>
      </c>
      <c r="M146" s="189" t="n"/>
      <c r="N146" s="190" t="inlineStr">
        <is>
          <t>Communicate 360- Anish's team · proctoring</t>
        </is>
      </c>
      <c r="O146" s="190" t="n"/>
      <c r="P146" s="190" t="n"/>
      <c r="Q146" s="191" t="n">
        <v>3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89" t="inlineStr">
        <is>
          <t>May 2026</t>
        </is>
      </c>
      <c r="C147" s="190" t="inlineStr">
        <is>
          <t>Assessment</t>
        </is>
      </c>
      <c r="D147" s="190" t="n"/>
      <c r="E147" s="190" t="inlineStr">
        <is>
          <t>Communicate 360- Anish's team · proctoring</t>
        </is>
      </c>
      <c r="F147" s="190" t="n"/>
      <c r="G147" s="189" t="inlineStr">
        <is>
          <t>2026-05-14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Offline</t>
        </is>
      </c>
      <c r="M147" s="189" t="n"/>
      <c r="N147" s="190" t="inlineStr">
        <is>
          <t>Communicate 360- Anish's team · proctoring</t>
        </is>
      </c>
      <c r="O147" s="190" t="n"/>
      <c r="P147" s="190" t="n"/>
      <c r="Q147" s="191" t="n">
        <v>3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2026-05-07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89" t="inlineStr">
        <is>
          <t>May 2026</t>
        </is>
      </c>
      <c r="C149" s="190" t="inlineStr">
        <is>
          <t>Other</t>
        </is>
      </c>
      <c r="D149" s="190" t="n"/>
      <c r="E149" s="190" t="inlineStr">
        <is>
          <t>varsity tickets</t>
        </is>
      </c>
      <c r="F149" s="190" t="n"/>
      <c r="G149" s="189" t="inlineStr">
        <is>
          <t>2026-05-08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Online</t>
        </is>
      </c>
      <c r="M149" s="189" t="n"/>
      <c r="N149" s="190" t="inlineStr">
        <is>
          <t>varsity tickets</t>
        </is>
      </c>
      <c r="O149" s="190" t="n"/>
      <c r="P149" s="190" t="n"/>
      <c r="Q149" s="191" t="n">
        <v>0.25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89" t="inlineStr">
        <is>
          <t>May 2026</t>
        </is>
      </c>
      <c r="C150" s="190" t="inlineStr">
        <is>
          <t>Other</t>
        </is>
      </c>
      <c r="D150" s="190" t="n"/>
      <c r="E150" s="190" t="inlineStr">
        <is>
          <t>varsity tickets</t>
        </is>
      </c>
      <c r="F150" s="190" t="n"/>
      <c r="G150" s="189" t="inlineStr">
        <is>
          <t>2026-05-11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Online</t>
        </is>
      </c>
      <c r="M150" s="189" t="n"/>
      <c r="N150" s="190" t="inlineStr">
        <is>
          <t>varsity tickets</t>
        </is>
      </c>
      <c r="O150" s="190" t="n"/>
      <c r="P150" s="190" t="n"/>
      <c r="Q150" s="191" t="n">
        <v>0.25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89" t="inlineStr">
        <is>
          <t>May 2026</t>
        </is>
      </c>
      <c r="C151" s="190" t="inlineStr">
        <is>
          <t>Other</t>
        </is>
      </c>
      <c r="D151" s="190" t="n"/>
      <c r="E151" s="190" t="inlineStr">
        <is>
          <t>varsity tickets</t>
        </is>
      </c>
      <c r="F151" s="190" t="n"/>
      <c r="G151" s="189" t="inlineStr">
        <is>
          <t>2026-05-12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varsity tickets</t>
        </is>
      </c>
      <c r="O151" s="190" t="n"/>
      <c r="P151" s="190" t="n"/>
      <c r="Q151" s="191" t="n">
        <v>0.25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89" t="inlineStr">
        <is>
          <t>May 2026</t>
        </is>
      </c>
      <c r="C152" s="190" t="inlineStr">
        <is>
          <t>Other</t>
        </is>
      </c>
      <c r="D152" s="190" t="n"/>
      <c r="E152" s="190" t="inlineStr">
        <is>
          <t>varsity tickets</t>
        </is>
      </c>
      <c r="F152" s="190" t="n"/>
      <c r="G152" s="189" t="inlineStr">
        <is>
          <t>2026-05-13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varsity tickets</t>
        </is>
      </c>
      <c r="O152" s="190" t="n"/>
      <c r="P152" s="190" t="n"/>
      <c r="Q152" s="191" t="n">
        <v>0.25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inlineStr">
        <is>
          <t>May 2026</t>
        </is>
      </c>
      <c r="C153" s="190" t="inlineStr">
        <is>
          <t>Other</t>
        </is>
      </c>
      <c r="D153" s="190" t="n"/>
      <c r="E153" s="190" t="inlineStr">
        <is>
          <t>varsity tickets</t>
        </is>
      </c>
      <c r="F153" s="190" t="n"/>
      <c r="G153" s="189" t="inlineStr">
        <is>
          <t>2026-05-14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Online</t>
        </is>
      </c>
      <c r="M153" s="189" t="n"/>
      <c r="N153" s="190" t="inlineStr">
        <is>
          <t>varsity tickets</t>
        </is>
      </c>
      <c r="O153" s="190" t="n"/>
      <c r="P153" s="190" t="n"/>
      <c r="Q153" s="191" t="n">
        <v>0.25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inlineStr">
        <is>
          <t>May 2026</t>
        </is>
      </c>
      <c r="C154" s="190" t="inlineStr">
        <is>
          <t>Support Training</t>
        </is>
      </c>
      <c r="D154" s="190" t="n"/>
      <c r="E154" s="190" t="inlineStr">
        <is>
          <t>varsity tickets</t>
        </is>
      </c>
      <c r="F154" s="190" t="n"/>
      <c r="G154" s="189" t="inlineStr">
        <is>
          <t>2026-05-15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Online</t>
        </is>
      </c>
      <c r="M154" s="189" t="n"/>
      <c r="N154" s="190" t="inlineStr">
        <is>
          <t>varsity tickets</t>
        </is>
      </c>
      <c r="O154" s="190" t="n"/>
      <c r="P154" s="190" t="n"/>
      <c r="Q154" s="191" t="n">
        <v>0.25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Other</t>
        </is>
      </c>
      <c r="D155" s="190" t="n"/>
      <c r="E155" s="190" t="inlineStr">
        <is>
          <t>varsity tickets</t>
        </is>
      </c>
      <c r="F155" s="190" t="n"/>
      <c r="G155" s="189" t="inlineStr">
        <is>
          <t>2026-05-18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varsity tickets</t>
        </is>
      </c>
      <c r="O155" s="190" t="n"/>
      <c r="P155" s="190" t="n"/>
      <c r="Q155" s="191" t="n">
        <v>0.25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2026-05-19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2026-05-20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2026-05-21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2026-05-22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2026-05-27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Assessment</t>
        </is>
      </c>
      <c r="D161" s="190" t="n"/>
      <c r="E161" s="190" t="inlineStr">
        <is>
          <t>Review on  mockcall</t>
        </is>
      </c>
      <c r="F161" s="190" t="n"/>
      <c r="G161" s="189" t="inlineStr">
        <is>
          <t>2026-05-11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Review on  mockcall</t>
        </is>
      </c>
      <c r="O161" s="190" t="n"/>
      <c r="P161" s="190" t="n"/>
      <c r="Q161" s="191" t="n">
        <v>3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Review on mockcall ·  Harish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Review on mockcall ·  Harish</t>
        </is>
      </c>
      <c r="O162" s="190" t="n"/>
      <c r="P162" s="190" t="n"/>
      <c r="Q162" s="191" t="n">
        <v>2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Preperation for Session on Primary and Secondary transfer of securities and SOPs of Abusive calls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Preperation for Session on Primary and Secondary transfer of securities and SOPs of Abusive calls</t>
        </is>
      </c>
      <c r="O163" s="190" t="n"/>
      <c r="P163" s="190" t="n"/>
      <c r="Q163" s="191" t="n">
        <v>4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lms tool testing</t>
        </is>
      </c>
      <c r="F164" s="190" t="n"/>
      <c r="G164" s="189" t="inlineStr">
        <is>
          <t>2026-05-27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lms tool testing</t>
        </is>
      </c>
      <c r="O164" s="190" t="n"/>
      <c r="P164" s="190" t="n"/>
      <c r="Q164" s="191" t="n">
        <v>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Managers training discussion &amp; PPT</t>
        </is>
      </c>
      <c r="F165" s="190" t="n"/>
      <c r="G165" s="189" t="inlineStr">
        <is>
          <t>2026-05-13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Offline</t>
        </is>
      </c>
      <c r="M165" s="189" t="n"/>
      <c r="N165" s="190" t="inlineStr">
        <is>
          <t>Managers training discussion &amp; PPT</t>
        </is>
      </c>
      <c r="O165" s="190" t="n"/>
      <c r="P165" s="190" t="n"/>
      <c r="Q165" s="191" t="n">
        <v>2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Managers training discussion &amp; PPT</t>
        </is>
      </c>
      <c r="F166" s="190" t="n"/>
      <c r="G166" s="189" t="inlineStr">
        <is>
          <t>2026-05-12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Offline</t>
        </is>
      </c>
      <c r="M166" s="189" t="n"/>
      <c r="N166" s="190" t="inlineStr">
        <is>
          <t>Managers training discussion &amp; PPT</t>
        </is>
      </c>
      <c r="O166" s="190" t="n"/>
      <c r="P166" s="190" t="n"/>
      <c r="Q166" s="191" t="n">
        <v>3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Managers training discussion &amp; PPT  &amp; tool integration</t>
        </is>
      </c>
      <c r="F167" s="190" t="n"/>
      <c r="G167" s="189" t="inlineStr">
        <is>
          <t>2026-05-14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Offline</t>
        </is>
      </c>
      <c r="M167" s="189" t="n"/>
      <c r="N167" s="190" t="inlineStr">
        <is>
          <t>Managers training discussion &amp; PPT  &amp; tool integration</t>
        </is>
      </c>
      <c r="O167" s="190" t="n"/>
      <c r="P167" s="190" t="n"/>
      <c r="Q167" s="191" t="n">
        <v>2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Support Training</t>
        </is>
      </c>
      <c r="D168" s="190" t="n"/>
      <c r="E168" s="190" t="inlineStr">
        <is>
          <t>Review on Pick &amp; Speak &amp; mockcall</t>
        </is>
      </c>
      <c r="F168" s="190" t="n"/>
      <c r="G168" s="189" t="inlineStr">
        <is>
          <t>2026-05-07</t>
        </is>
      </c>
      <c r="H168" s="189" t="inlineStr">
        <is>
          <t>—</t>
        </is>
      </c>
      <c r="I168" s="189" t="n"/>
      <c r="J168" s="190" t="inlineStr">
        <is>
          <t>Girish A</t>
        </is>
      </c>
      <c r="K168" s="190" t="n"/>
      <c r="L168" s="189" t="inlineStr">
        <is>
          <t>Online</t>
        </is>
      </c>
      <c r="M168" s="189" t="n"/>
      <c r="N168" s="190" t="inlineStr">
        <is>
          <t>Review on Pick &amp; Speak &amp; mockcall</t>
        </is>
      </c>
      <c r="O168" s="190" t="n"/>
      <c r="P168" s="190" t="n"/>
      <c r="Q168" s="191" t="n">
        <v>2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Support Training</t>
        </is>
      </c>
      <c r="D169" s="190" t="n"/>
      <c r="E169" s="190" t="inlineStr">
        <is>
          <t>Review on Pick &amp; Speak &amp; mockcall</t>
        </is>
      </c>
      <c r="F169" s="190" t="n"/>
      <c r="G169" s="189" t="inlineStr">
        <is>
          <t>2026-05-08</t>
        </is>
      </c>
      <c r="H169" s="189" t="inlineStr">
        <is>
          <t>—</t>
        </is>
      </c>
      <c r="I169" s="189" t="n"/>
      <c r="J169" s="190" t="inlineStr">
        <is>
          <t>Girish A</t>
        </is>
      </c>
      <c r="K169" s="190" t="n"/>
      <c r="L169" s="189" t="inlineStr">
        <is>
          <t>Online</t>
        </is>
      </c>
      <c r="M169" s="189" t="n"/>
      <c r="N169" s="190" t="inlineStr">
        <is>
          <t>Review on Pick &amp; Speak &amp; mockcall</t>
        </is>
      </c>
      <c r="O169" s="190" t="n"/>
      <c r="P169" s="190" t="n"/>
      <c r="Q169" s="191" t="n">
        <v>2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Pick &amp; Speak &amp;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Girish A</t>
        </is>
      </c>
      <c r="K170" s="190" t="n"/>
      <c r="L170" s="189" t="inlineStr">
        <is>
          <t>Online</t>
        </is>
      </c>
      <c r="M170" s="189" t="n"/>
      <c r="N170" s="190" t="inlineStr">
        <is>
          <t>Review on Pick &amp; Speak &amp;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Communicate 360- Anish's team · proctoring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Girish A</t>
        </is>
      </c>
      <c r="K171" s="190" t="n"/>
      <c r="L171" s="189" t="inlineStr">
        <is>
          <t>Online</t>
        </is>
      </c>
      <c r="M171" s="189" t="n"/>
      <c r="N171" s="190" t="inlineStr">
        <is>
          <t>Communicate 360- Anish's team · proctoring</t>
        </is>
      </c>
      <c r="O171" s="190" t="n"/>
      <c r="P171" s="190" t="n"/>
      <c r="Q171" s="191" t="n">
        <v>3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Support Training</t>
        </is>
      </c>
      <c r="D172" s="190" t="n"/>
      <c r="E172" s="190" t="inlineStr">
        <is>
          <t>Trainer Dashboard</t>
        </is>
      </c>
      <c r="F172" s="190" t="n"/>
      <c r="G172" s="189" t="inlineStr">
        <is>
          <t>2026-05-15</t>
        </is>
      </c>
      <c r="H172" s="189" t="inlineStr">
        <is>
          <t>—</t>
        </is>
      </c>
      <c r="I172" s="189" t="n"/>
      <c r="J172" s="190" t="inlineStr">
        <is>
          <t>Girish A</t>
        </is>
      </c>
      <c r="K172" s="190" t="n"/>
      <c r="L172" s="189" t="inlineStr">
        <is>
          <t>Online</t>
        </is>
      </c>
      <c r="M172" s="189" t="n"/>
      <c r="N172" s="190" t="inlineStr">
        <is>
          <t>Trainer Dashboard</t>
        </is>
      </c>
      <c r="O172" s="190" t="n"/>
      <c r="P172" s="190" t="n"/>
      <c r="Q172" s="191" t="n">
        <v>3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Support Training</t>
        </is>
      </c>
      <c r="D173" s="190" t="n"/>
      <c r="E173" s="190" t="inlineStr">
        <is>
          <t>Trainer Dahboard</t>
        </is>
      </c>
      <c r="F173" s="190" t="n"/>
      <c r="G173" s="189" t="inlineStr">
        <is>
          <t>2026-05-18</t>
        </is>
      </c>
      <c r="H173" s="189" t="inlineStr">
        <is>
          <t>—</t>
        </is>
      </c>
      <c r="I173" s="189" t="n"/>
      <c r="J173" s="190" t="inlineStr">
        <is>
          <t>Girish A</t>
        </is>
      </c>
      <c r="K173" s="190" t="n"/>
      <c r="L173" s="189" t="inlineStr">
        <is>
          <t>Online</t>
        </is>
      </c>
      <c r="M173" s="189" t="n"/>
      <c r="N173" s="190" t="inlineStr">
        <is>
          <t>Trainer Dahboard</t>
        </is>
      </c>
      <c r="O173" s="190" t="n"/>
      <c r="P173" s="190" t="n"/>
      <c r="Q173" s="191" t="n">
        <v>3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Support Training</t>
        </is>
      </c>
      <c r="D174" s="190" t="n"/>
      <c r="E174" s="190" t="inlineStr">
        <is>
          <t>Session on Primary and Secondary transfer of securities and SOPs of Abusive calls</t>
        </is>
      </c>
      <c r="F174" s="190" t="n"/>
      <c r="G174" s="189" t="inlineStr">
        <is>
          <t>2026-05-20</t>
        </is>
      </c>
      <c r="H174" s="189" t="inlineStr">
        <is>
          <t>—</t>
        </is>
      </c>
      <c r="I174" s="189" t="n"/>
      <c r="J174" s="190" t="inlineStr">
        <is>
          <t>Girish A</t>
        </is>
      </c>
      <c r="K174" s="190" t="n"/>
      <c r="L174" s="189" t="inlineStr">
        <is>
          <t>Online</t>
        </is>
      </c>
      <c r="M174" s="189" t="n"/>
      <c r="N174" s="190" t="inlineStr">
        <is>
          <t>Session on Primary and Secondary transfer of securities and SOPs of Abusive calls</t>
        </is>
      </c>
      <c r="O174" s="190" t="n"/>
      <c r="P174" s="190" t="n"/>
      <c r="Q174" s="191" t="n">
        <v>1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Support Training</t>
        </is>
      </c>
      <c r="D175" s="190" t="n"/>
      <c r="E175" s="190" t="inlineStr">
        <is>
          <t>Trainer Dashboard</t>
        </is>
      </c>
      <c r="F175" s="190" t="n"/>
      <c r="G175" s="189" t="inlineStr">
        <is>
          <t>2026-05-26</t>
        </is>
      </c>
      <c r="H175" s="189" t="inlineStr">
        <is>
          <t>—</t>
        </is>
      </c>
      <c r="I175" s="189" t="n"/>
      <c r="J175" s="190" t="inlineStr">
        <is>
          <t>Girish A</t>
        </is>
      </c>
      <c r="K175" s="190" t="n"/>
      <c r="L175" s="189" t="inlineStr">
        <is>
          <t>Online</t>
        </is>
      </c>
      <c r="M175" s="189" t="n"/>
      <c r="N175" s="190" t="inlineStr">
        <is>
          <t>Trainer Dashboard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Communicate 360- Anish's team · proctoring</t>
        </is>
      </c>
      <c r="F176" s="190" t="n"/>
      <c r="G176" s="189" t="inlineStr">
        <is>
          <t>2026-05-11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Offline</t>
        </is>
      </c>
      <c r="M176" s="189" t="n"/>
      <c r="N176" s="190" t="inlineStr">
        <is>
          <t>Communicate 360- Anish's team · proctoring</t>
        </is>
      </c>
      <c r="O176" s="190" t="n"/>
      <c r="P176" s="190" t="n"/>
      <c r="Q176" s="191" t="n">
        <v>3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Communicate 360- Anish's team · proctoring</t>
        </is>
      </c>
      <c r="F177" s="190" t="n"/>
      <c r="G177" s="189" t="inlineStr">
        <is>
          <t>2026-05-12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Offline</t>
        </is>
      </c>
      <c r="M177" s="189" t="n"/>
      <c r="N177" s="190" t="inlineStr">
        <is>
          <t>Communicate 360- Anish's team · proctoring</t>
        </is>
      </c>
      <c r="O177" s="190" t="n"/>
      <c r="P177" s="190" t="n"/>
      <c r="Q177" s="191" t="n">
        <v>1.5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Managers training discussion</t>
        </is>
      </c>
      <c r="F178" s="190" t="n"/>
      <c r="G178" s="189" t="inlineStr">
        <is>
          <t>2026-05-12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Offline</t>
        </is>
      </c>
      <c r="M178" s="189" t="n"/>
      <c r="N178" s="190" t="inlineStr">
        <is>
          <t>Managers training discussion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 ·</t>
        </is>
      </c>
      <c r="F179" s="190" t="n"/>
      <c r="G179" s="189" t="inlineStr">
        <is>
          <t>2026-05-13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Offline</t>
        </is>
      </c>
      <c r="M179" s="189" t="n"/>
      <c r="N179" s="190" t="inlineStr">
        <is>
          <t>Communicate 360- Anish's team · proctoring ·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Managers training discussion</t>
        </is>
      </c>
      <c r="F180" s="190" t="n"/>
      <c r="G180" s="189" t="inlineStr">
        <is>
          <t>2026-05-13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Offline</t>
        </is>
      </c>
      <c r="M180" s="189" t="n"/>
      <c r="N180" s="190" t="inlineStr">
        <is>
          <t>Managers training discussion</t>
        </is>
      </c>
      <c r="O180" s="190" t="n"/>
      <c r="P180" s="190" t="n"/>
      <c r="Q180" s="191" t="n">
        <v>2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Manager Assessments integration</t>
        </is>
      </c>
      <c r="F181" s="190" t="n"/>
      <c r="G181" s="189" t="inlineStr">
        <is>
          <t>2026-05-14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Offline</t>
        </is>
      </c>
      <c r="M181" s="189" t="n"/>
      <c r="N181" s="190" t="inlineStr">
        <is>
          <t>Manager Assessments integration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Preperation for Session on Primary and Secondary transfer of securities and SOPs of Abusive calls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Preperation for Session on Primary and Secondary transfer of securities and SOPs of Abusive calls</t>
        </is>
      </c>
      <c r="O182" s="190" t="n"/>
      <c r="P182" s="190" t="n"/>
      <c r="Q182" s="191" t="n">
        <v>4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Preperation for Session on Primary and Secondary transfer of securities and SOPs of Abusive calls</t>
        </is>
      </c>
      <c r="F183" s="190" t="n"/>
      <c r="G183" s="189" t="inlineStr">
        <is>
          <t>2026-05-19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Preperation for Session on Primary and Secondary transfer of securities and SOPs of Abusive calls</t>
        </is>
      </c>
      <c r="O183" s="190" t="n"/>
      <c r="P183" s="190" t="n"/>
      <c r="Q183" s="191" t="n">
        <v>6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Other</t>
        </is>
      </c>
      <c r="D184" s="190" t="n"/>
      <c r="E184" s="190" t="inlineStr">
        <is>
          <t>NRI training preparations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NRI training preparations</t>
        </is>
      </c>
      <c r="O184" s="190" t="n"/>
      <c r="P184" s="190" t="n"/>
      <c r="Q184" s="191" t="n">
        <v>2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Other</t>
        </is>
      </c>
      <c r="D185" s="190" t="n"/>
      <c r="E185" s="190" t="inlineStr">
        <is>
          <t>NRI training preparations</t>
        </is>
      </c>
      <c r="F185" s="190" t="n"/>
      <c r="G185" s="189" t="inlineStr">
        <is>
          <t>2026-05-27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NRI training preparations</t>
        </is>
      </c>
      <c r="O185" s="190" t="n"/>
      <c r="P185" s="190" t="n"/>
      <c r="Q185" s="191" t="n">
        <v>2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Other</t>
        </is>
      </c>
      <c r="D186" s="190" t="n"/>
      <c r="E186" s="190" t="inlineStr">
        <is>
          <t>NRI training preparations</t>
        </is>
      </c>
      <c r="F186" s="190" t="n"/>
      <c r="G186" s="189" t="inlineStr">
        <is>
          <t>2026-05-29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NRI training preparations</t>
        </is>
      </c>
      <c r="O186" s="190" t="n"/>
      <c r="P186" s="190" t="n"/>
      <c r="Q186" s="191" t="n">
        <v>4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Other</t>
        </is>
      </c>
      <c r="D187" s="190" t="n"/>
      <c r="E187" s="190" t="inlineStr">
        <is>
          <t>Anish's team report sending</t>
        </is>
      </c>
      <c r="F187" s="190" t="n"/>
      <c r="G187" s="189" t="inlineStr">
        <is>
          <t>2026-05-29</t>
        </is>
      </c>
      <c r="H187" s="189" t="inlineStr">
        <is>
          <t>—</t>
        </is>
      </c>
      <c r="I187" s="189" t="n"/>
      <c r="J187" s="190" t="inlineStr">
        <is>
          <t>Harish Bhat</t>
        </is>
      </c>
      <c r="K187" s="190" t="n"/>
      <c r="L187" s="189" t="inlineStr">
        <is>
          <t>Online</t>
        </is>
      </c>
      <c r="M187" s="189" t="n"/>
      <c r="N187" s="190" t="inlineStr">
        <is>
          <t>Anish's team report sending</t>
        </is>
      </c>
      <c r="O187" s="190" t="n"/>
      <c r="P187" s="190" t="n"/>
      <c r="Q187" s="191" t="n">
        <v>2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Recruitment paper preparation</t>
        </is>
      </c>
      <c r="F188" s="190" t="n"/>
      <c r="G188" s="189" t="inlineStr">
        <is>
          <t>2026-05-21</t>
        </is>
      </c>
      <c r="H188" s="189" t="inlineStr">
        <is>
          <t>—</t>
        </is>
      </c>
      <c r="I188" s="189" t="n"/>
      <c r="J188" s="190" t="inlineStr">
        <is>
          <t>Harish Bhat</t>
        </is>
      </c>
      <c r="K188" s="190" t="n"/>
      <c r="L188" s="189" t="inlineStr">
        <is>
          <t>Online</t>
        </is>
      </c>
      <c r="M188" s="189" t="n"/>
      <c r="N188" s="190" t="inlineStr">
        <is>
          <t>Recruitment paper preparation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Communicate 360- Anish's team proctoring</t>
        </is>
      </c>
      <c r="F189" s="190" t="n"/>
      <c r="G189" s="189" t="inlineStr">
        <is>
          <t>2026-05-06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Communicate 360- Anish's team proctoring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Communicate 360- Anish's team</t>
        </is>
      </c>
      <c r="F190" s="190" t="n"/>
      <c r="G190" s="189" t="inlineStr">
        <is>
          <t>2026-05-05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Communicate 360- Anish's team</t>
        </is>
      </c>
      <c r="O190" s="190" t="n"/>
      <c r="P190" s="190" t="n"/>
      <c r="Q190" s="191" t="n">
        <v>2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Other</t>
        </is>
      </c>
      <c r="D191" s="190" t="n"/>
      <c r="E191" s="190" t="inlineStr">
        <is>
          <t>NRI training preparations</t>
        </is>
      </c>
      <c r="F191" s="190" t="n"/>
      <c r="G191" s="189" t="inlineStr">
        <is>
          <t>2026-05-25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NRI training preparations</t>
        </is>
      </c>
      <c r="O191" s="190" t="n"/>
      <c r="P191" s="190" t="n"/>
      <c r="Q191" s="191" t="n">
        <v>2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Communicate 360- Anish's team · proctoring</t>
        </is>
      </c>
      <c r="F192" s="190" t="n"/>
      <c r="G192" s="189" t="inlineStr">
        <is>
          <t>2026-05-04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Offline</t>
        </is>
      </c>
      <c r="M192" s="189" t="n"/>
      <c r="N192" s="190" t="inlineStr">
        <is>
          <t>Communicate 360- Anish's team · proctoring</t>
        </is>
      </c>
      <c r="O192" s="190" t="n"/>
      <c r="P192" s="190" t="n"/>
      <c r="Q192" s="191" t="n">
        <v>3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Support Training</t>
        </is>
      </c>
      <c r="D193" s="190" t="n"/>
      <c r="E193" s="190" t="inlineStr">
        <is>
          <t>Communicate 360- Renu's team</t>
        </is>
      </c>
      <c r="F193" s="190" t="n"/>
      <c r="G193" s="189" t="inlineStr">
        <is>
          <t>2026-05-11</t>
        </is>
      </c>
      <c r="H193" s="189" t="inlineStr">
        <is>
          <t>—</t>
        </is>
      </c>
      <c r="I193" s="189" t="n"/>
      <c r="J193" s="190" t="inlineStr">
        <is>
          <t>Freeda Reshma Dsouza</t>
        </is>
      </c>
      <c r="K193" s="190" t="n"/>
      <c r="L193" s="189" t="inlineStr">
        <is>
          <t>Offline</t>
        </is>
      </c>
      <c r="M193" s="189" t="n"/>
      <c r="N193" s="190" t="inlineStr">
        <is>
          <t>Communicate 360- Renu's team</t>
        </is>
      </c>
      <c r="O193" s="190" t="n"/>
      <c r="P193" s="190" t="n"/>
      <c r="Q193" s="191" t="n">
        <v>5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Support Training</t>
        </is>
      </c>
      <c r="D194" s="190" t="n"/>
      <c r="E194" s="190" t="inlineStr">
        <is>
          <t>Communicate 360- Renu's team</t>
        </is>
      </c>
      <c r="F194" s="190" t="n"/>
      <c r="G194" s="189" t="inlineStr">
        <is>
          <t>2026-05-12</t>
        </is>
      </c>
      <c r="H194" s="189" t="inlineStr">
        <is>
          <t>—</t>
        </is>
      </c>
      <c r="I194" s="189" t="n"/>
      <c r="J194" s="190" t="inlineStr">
        <is>
          <t>Freeda Reshma Dsouza</t>
        </is>
      </c>
      <c r="K194" s="190" t="n"/>
      <c r="L194" s="189" t="inlineStr">
        <is>
          <t>Offline</t>
        </is>
      </c>
      <c r="M194" s="189" t="n"/>
      <c r="N194" s="190" t="inlineStr">
        <is>
          <t>Communicate 360- Renu's team</t>
        </is>
      </c>
      <c r="O194" s="190" t="n"/>
      <c r="P194" s="190" t="n"/>
      <c r="Q194" s="191" t="n">
        <v>5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Support Training</t>
        </is>
      </c>
      <c r="D195" s="190" t="n"/>
      <c r="E195" s="190" t="inlineStr">
        <is>
          <t>Communicate 360- Renu's team</t>
        </is>
      </c>
      <c r="F195" s="190" t="n"/>
      <c r="G195" s="189" t="inlineStr">
        <is>
          <t>2026-05-14</t>
        </is>
      </c>
      <c r="H195" s="189" t="inlineStr">
        <is>
          <t>—</t>
        </is>
      </c>
      <c r="I195" s="189" t="n"/>
      <c r="J195" s="190" t="inlineStr">
        <is>
          <t>Freeda Reshma Dsouza</t>
        </is>
      </c>
      <c r="K195" s="190" t="n"/>
      <c r="L195" s="189" t="inlineStr">
        <is>
          <t>Offline</t>
        </is>
      </c>
      <c r="M195" s="189" t="n"/>
      <c r="N195" s="190" t="inlineStr">
        <is>
          <t>Communicate 360- Renu's team</t>
        </is>
      </c>
      <c r="O195" s="190" t="n"/>
      <c r="P195" s="190" t="n"/>
      <c r="Q195" s="191" t="n">
        <v>5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Communicate 360- Renu's team</t>
        </is>
      </c>
      <c r="F196" s="190" t="n"/>
      <c r="G196" s="189" t="inlineStr">
        <is>
          <t>2026-05-13</t>
        </is>
      </c>
      <c r="H196" s="189" t="inlineStr">
        <is>
          <t>—</t>
        </is>
      </c>
      <c r="I196" s="189" t="n"/>
      <c r="J196" s="190" t="inlineStr">
        <is>
          <t>Freeda Reshma Dsouza</t>
        </is>
      </c>
      <c r="K196" s="190" t="n"/>
      <c r="L196" s="189" t="inlineStr">
        <is>
          <t>Offline</t>
        </is>
      </c>
      <c r="M196" s="189" t="n"/>
      <c r="N196" s="190" t="inlineStr">
        <is>
          <t>Communicate 360- Renu's team</t>
        </is>
      </c>
      <c r="O196" s="190" t="n"/>
      <c r="P196" s="190" t="n"/>
      <c r="Q196" s="191" t="n">
        <v>5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Other</t>
        </is>
      </c>
      <c r="D197" s="190" t="n"/>
      <c r="E197" s="190" t="inlineStr">
        <is>
          <t>Review on Pick &amp; Speak</t>
        </is>
      </c>
      <c r="F197" s="190" t="n"/>
      <c r="G197" s="189" t="inlineStr">
        <is>
          <t>2026-05-27</t>
        </is>
      </c>
      <c r="H197" s="189" t="inlineStr">
        <is>
          <t>—</t>
        </is>
      </c>
      <c r="I197" s="189" t="n"/>
      <c r="J197" s="190" t="inlineStr">
        <is>
          <t>Freeda Reshma Dsouza</t>
        </is>
      </c>
      <c r="K197" s="190" t="n"/>
      <c r="L197" s="189" t="inlineStr">
        <is>
          <t>Online</t>
        </is>
      </c>
      <c r="M197" s="189" t="n"/>
      <c r="N197" s="190" t="inlineStr">
        <is>
          <t>Review on Pick &amp; Speak</t>
        </is>
      </c>
      <c r="O197" s="190" t="n"/>
      <c r="P197" s="190" t="n"/>
      <c r="Q197" s="191" t="n">
        <v>3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June 2026</t>
        </is>
      </c>
      <c r="C198" s="190" t="inlineStr">
        <is>
          <t>Other</t>
        </is>
      </c>
      <c r="D198" s="190" t="n"/>
      <c r="E198" s="190" t="inlineStr">
        <is>
          <t>QOD preparations</t>
        </is>
      </c>
      <c r="F198" s="190" t="n"/>
      <c r="G198" s="189" t="inlineStr">
        <is>
          <t>2026-06-01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Online</t>
        </is>
      </c>
      <c r="M198" s="189" t="n"/>
      <c r="N198" s="190" t="inlineStr">
        <is>
          <t>QOD preparations</t>
        </is>
      </c>
      <c r="O198" s="190" t="n"/>
      <c r="P198" s="190" t="n"/>
      <c r="Q198" s="191" t="n">
        <v>1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June 2026</t>
        </is>
      </c>
      <c r="C199" s="190" t="inlineStr">
        <is>
          <t>Support Training</t>
        </is>
      </c>
      <c r="D199" s="190" t="n"/>
      <c r="E199" s="190" t="inlineStr">
        <is>
          <t>Communicate 360- Renu's team</t>
        </is>
      </c>
      <c r="F199" s="190" t="n"/>
      <c r="G199" s="189" t="inlineStr">
        <is>
          <t>2026-06-02</t>
        </is>
      </c>
      <c r="H199" s="189" t="inlineStr">
        <is>
          <t>—</t>
        </is>
      </c>
      <c r="I199" s="189" t="n"/>
      <c r="J199" s="190" t="inlineStr">
        <is>
          <t>Freeda Reshma Dsouza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Renu's team</t>
        </is>
      </c>
      <c r="O199" s="190" t="n"/>
      <c r="P199" s="190" t="n"/>
      <c r="Q199" s="191" t="n">
        <v>5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June 2026</t>
        </is>
      </c>
      <c r="C200" s="190" t="inlineStr">
        <is>
          <t>Support Training</t>
        </is>
      </c>
      <c r="D200" s="190" t="n"/>
      <c r="E200" s="190" t="inlineStr">
        <is>
          <t>Communicate 360- Renu's team</t>
        </is>
      </c>
      <c r="F200" s="190" t="n"/>
      <c r="G200" s="189" t="inlineStr">
        <is>
          <t>2026-06-03</t>
        </is>
      </c>
      <c r="H200" s="189" t="inlineStr">
        <is>
          <t>—</t>
        </is>
      </c>
      <c r="I200" s="189" t="n"/>
      <c r="J200" s="190" t="inlineStr">
        <is>
          <t>Freeda Reshma Dsouza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Renu's team</t>
        </is>
      </c>
      <c r="O200" s="190" t="n"/>
      <c r="P200" s="190" t="n"/>
      <c r="Q200" s="191" t="n">
        <v>5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June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2026-06-04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June 2026</t>
        </is>
      </c>
      <c r="C202" s="190" t="inlineStr">
        <is>
          <t>Support Training</t>
        </is>
      </c>
      <c r="D202" s="190" t="n"/>
      <c r="E202" s="190" t="inlineStr">
        <is>
          <t>Review on Pick &amp; Speak</t>
        </is>
      </c>
      <c r="F202" s="190" t="n"/>
      <c r="G202" s="189" t="inlineStr">
        <is>
          <t>2026-06-05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Online</t>
        </is>
      </c>
      <c r="M202" s="189" t="n"/>
      <c r="N202" s="190" t="inlineStr">
        <is>
          <t>Review on Pick &amp; Speak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June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2026-06-01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Online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June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2026-06-08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Online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2.5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June 2026</t>
        </is>
      </c>
      <c r="C205" s="190" t="inlineStr">
        <is>
          <t>Other</t>
        </is>
      </c>
      <c r="D205" s="190" t="n"/>
      <c r="E205" s="190" t="inlineStr">
        <is>
          <t>Communicate 360- Renu's team proctoring</t>
        </is>
      </c>
      <c r="F205" s="190" t="n"/>
      <c r="G205" s="189" t="inlineStr">
        <is>
          <t>2026-06-01</t>
        </is>
      </c>
      <c r="H205" s="189" t="inlineStr">
        <is>
          <t>—</t>
        </is>
      </c>
      <c r="I205" s="189" t="n"/>
      <c r="J205" s="190" t="inlineStr">
        <is>
          <t>Girish A</t>
        </is>
      </c>
      <c r="K205" s="190" t="n"/>
      <c r="L205" s="189" t="inlineStr">
        <is>
          <t>Online</t>
        </is>
      </c>
      <c r="M205" s="189" t="n"/>
      <c r="N205" s="190" t="inlineStr">
        <is>
          <t>Communicate 360- Renu's team proctoring</t>
        </is>
      </c>
      <c r="O205" s="190" t="n"/>
      <c r="P205" s="190" t="n"/>
      <c r="Q205" s="191" t="n">
        <v>2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Support Training</t>
        </is>
      </c>
      <c r="D206" s="190" t="n"/>
      <c r="E206" s="190" t="inlineStr">
        <is>
          <t>NRI Sales and Acop Training session</t>
        </is>
      </c>
      <c r="F206" s="190" t="n"/>
      <c r="G206" s="189" t="inlineStr">
        <is>
          <t>2026-06-02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Offline</t>
        </is>
      </c>
      <c r="M206" s="189" t="n"/>
      <c r="N206" s="190" t="inlineStr">
        <is>
          <t>NRI Sales and Acop Training session</t>
        </is>
      </c>
      <c r="O206" s="190" t="n"/>
      <c r="P206" s="190" t="n"/>
      <c r="Q206" s="191" t="n">
        <v>6.5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NRI Sales and Acop Training session</t>
        </is>
      </c>
      <c r="F207" s="190" t="n"/>
      <c r="G207" s="189" t="inlineStr">
        <is>
          <t>2026-06-03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Offline</t>
        </is>
      </c>
      <c r="M207" s="189" t="n"/>
      <c r="N207" s="190" t="inlineStr">
        <is>
          <t>NRI Sales and Acop Training session</t>
        </is>
      </c>
      <c r="O207" s="190" t="n"/>
      <c r="P207" s="190" t="n"/>
      <c r="Q207" s="191" t="n">
        <v>6.5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NRI Sales and Acop Training session</t>
        </is>
      </c>
      <c r="F208" s="190" t="n"/>
      <c r="G208" s="189" t="inlineStr">
        <is>
          <t>2026-06-04</t>
        </is>
      </c>
      <c r="H208" s="189" t="inlineStr">
        <is>
          <t>—</t>
        </is>
      </c>
      <c r="I208" s="189" t="n"/>
      <c r="J208" s="190" t="inlineStr">
        <is>
          <t>Girish A</t>
        </is>
      </c>
      <c r="K208" s="190" t="n"/>
      <c r="L208" s="189" t="inlineStr">
        <is>
          <t>Offline</t>
        </is>
      </c>
      <c r="M208" s="189" t="n"/>
      <c r="N208" s="190" t="inlineStr">
        <is>
          <t>NRI Sales and Acop Training session</t>
        </is>
      </c>
      <c r="O208" s="190" t="n"/>
      <c r="P208" s="190" t="n"/>
      <c r="Q208" s="191" t="n">
        <v>6.5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NRI Sales and Acop Training session</t>
        </is>
      </c>
      <c r="F209" s="190" t="n"/>
      <c r="G209" s="189" t="inlineStr">
        <is>
          <t>2026-06-05</t>
        </is>
      </c>
      <c r="H209" s="189" t="inlineStr">
        <is>
          <t>—</t>
        </is>
      </c>
      <c r="I209" s="189" t="n"/>
      <c r="J209" s="190" t="inlineStr">
        <is>
          <t>Girish A</t>
        </is>
      </c>
      <c r="K209" s="190" t="n"/>
      <c r="L209" s="189" t="inlineStr">
        <is>
          <t>Offline</t>
        </is>
      </c>
      <c r="M209" s="189" t="n"/>
      <c r="N209" s="190" t="inlineStr">
        <is>
          <t>NRI Sales and Acop Training session</t>
        </is>
      </c>
      <c r="O209" s="190" t="n"/>
      <c r="P209" s="190" t="n"/>
      <c r="Q209" s="191" t="n">
        <v>6.5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NRI Sales and Acop Training session</t>
        </is>
      </c>
      <c r="F210" s="190" t="n"/>
      <c r="G210" s="189" t="inlineStr">
        <is>
          <t>2026-06-08</t>
        </is>
      </c>
      <c r="H210" s="189" t="inlineStr">
        <is>
          <t>—</t>
        </is>
      </c>
      <c r="I210" s="189" t="n"/>
      <c r="J210" s="190" t="inlineStr">
        <is>
          <t>Girish A</t>
        </is>
      </c>
      <c r="K210" s="190" t="n"/>
      <c r="L210" s="189" t="inlineStr">
        <is>
          <t>Offline</t>
        </is>
      </c>
      <c r="M210" s="189" t="n"/>
      <c r="N210" s="190" t="inlineStr">
        <is>
          <t>NRI Sales and Acop Training session</t>
        </is>
      </c>
      <c r="O210" s="190" t="n"/>
      <c r="P210" s="190" t="n"/>
      <c r="Q210" s="191" t="n">
        <v>6.5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NRI Sales and Acop Training session</t>
        </is>
      </c>
      <c r="F211" s="190" t="n"/>
      <c r="G211" s="189" t="inlineStr">
        <is>
          <t>2026-06-09</t>
        </is>
      </c>
      <c r="H211" s="189" t="inlineStr">
        <is>
          <t>—</t>
        </is>
      </c>
      <c r="I211" s="189" t="n"/>
      <c r="J211" s="190" t="inlineStr">
        <is>
          <t>Girish A</t>
        </is>
      </c>
      <c r="K211" s="190" t="n"/>
      <c r="L211" s="189" t="inlineStr">
        <is>
          <t>Offline</t>
        </is>
      </c>
      <c r="M211" s="189" t="n"/>
      <c r="N211" s="190" t="inlineStr">
        <is>
          <t>NRI Sales and Acop Training session</t>
        </is>
      </c>
      <c r="O211" s="190" t="n"/>
      <c r="P211" s="190" t="n"/>
      <c r="Q211" s="191" t="n">
        <v>6.5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2026-06-09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Offline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2.25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2026-06-10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Offline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2.25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Assessment</t>
        </is>
      </c>
      <c r="D214" s="190" t="n"/>
      <c r="E214" s="190" t="inlineStr">
        <is>
          <t>Review on Pick &amp; Speak &amp; mockcall - Renu team</t>
        </is>
      </c>
      <c r="F214" s="190" t="n"/>
      <c r="G214" s="189" t="inlineStr">
        <is>
          <t>2026-06-10</t>
        </is>
      </c>
      <c r="H214" s="189" t="inlineStr">
        <is>
          <t>—</t>
        </is>
      </c>
      <c r="I214" s="189" t="n"/>
      <c r="J214" s="190" t="inlineStr">
        <is>
          <t>Harish Bhat</t>
        </is>
      </c>
      <c r="K214" s="190" t="n"/>
      <c r="L214" s="189" t="inlineStr">
        <is>
          <t>Offline</t>
        </is>
      </c>
      <c r="M214" s="189" t="n"/>
      <c r="N214" s="190" t="inlineStr">
        <is>
          <t>Review on Pick &amp; Speak &amp; mockcall - Renu team</t>
        </is>
      </c>
      <c r="O214" s="190" t="n"/>
      <c r="P214" s="190" t="n"/>
      <c r="Q214" s="191" t="n">
        <v>4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Assessment</t>
        </is>
      </c>
      <c r="D215" s="190" t="n"/>
      <c r="E215" s="190" t="inlineStr">
        <is>
          <t>Review on Pick &amp; Speak &amp; mockcall - Renu Team</t>
        </is>
      </c>
      <c r="F215" s="190" t="n"/>
      <c r="G215" s="189" t="inlineStr">
        <is>
          <t>2026-06-08</t>
        </is>
      </c>
      <c r="H215" s="189" t="inlineStr">
        <is>
          <t>—</t>
        </is>
      </c>
      <c r="I215" s="189" t="n"/>
      <c r="J215" s="190" t="inlineStr">
        <is>
          <t>Harish Bhat</t>
        </is>
      </c>
      <c r="K215" s="190" t="n"/>
      <c r="L215" s="189" t="inlineStr">
        <is>
          <t>Offline</t>
        </is>
      </c>
      <c r="M215" s="189" t="n"/>
      <c r="N215" s="190" t="inlineStr">
        <is>
          <t>Review on Pick &amp; Speak &amp; mockcall - Renu Team</t>
        </is>
      </c>
      <c r="O215" s="190" t="n"/>
      <c r="P215" s="190" t="n"/>
      <c r="Q215" s="191" t="n">
        <v>4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Assessment</t>
        </is>
      </c>
      <c r="D216" s="190" t="n"/>
      <c r="E216" s="190" t="inlineStr">
        <is>
          <t>Review on Pick &amp; Speak &amp; mockcall Renu team</t>
        </is>
      </c>
      <c r="F216" s="190" t="n"/>
      <c r="G216" s="189" t="inlineStr">
        <is>
          <t>2026-06-09</t>
        </is>
      </c>
      <c r="H216" s="189" t="inlineStr">
        <is>
          <t>—</t>
        </is>
      </c>
      <c r="I216" s="189" t="n"/>
      <c r="J216" s="190" t="inlineStr">
        <is>
          <t>Harish Bhat</t>
        </is>
      </c>
      <c r="K216" s="190" t="n"/>
      <c r="L216" s="189" t="inlineStr">
        <is>
          <t>Offline</t>
        </is>
      </c>
      <c r="M216" s="189" t="n"/>
      <c r="N216" s="190" t="inlineStr">
        <is>
          <t>Review on Pick &amp; Speak &amp; mockcall Renu team</t>
        </is>
      </c>
      <c r="O216" s="190" t="n"/>
      <c r="P216" s="190" t="n"/>
      <c r="Q216" s="191" t="n">
        <v>4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Other</t>
        </is>
      </c>
      <c r="D217" s="190" t="n"/>
      <c r="E217" s="190" t="inlineStr">
        <is>
          <t>Review on Pick &amp; Speak &amp; mockcall - Renu team</t>
        </is>
      </c>
      <c r="F217" s="190" t="n"/>
      <c r="G217" s="189" t="inlineStr">
        <is>
          <t>2026-06-11</t>
        </is>
      </c>
      <c r="H217" s="189" t="inlineStr">
        <is>
          <t>—</t>
        </is>
      </c>
      <c r="I217" s="189" t="n"/>
      <c r="J217" s="190" t="inlineStr">
        <is>
          <t>Harish Bhat</t>
        </is>
      </c>
      <c r="K217" s="190" t="n"/>
      <c r="L217" s="189" t="inlineStr">
        <is>
          <t>Offline</t>
        </is>
      </c>
      <c r="M217" s="189" t="n"/>
      <c r="N217" s="190" t="inlineStr">
        <is>
          <t>Review on Pick &amp; Speak &amp; mockcall - Renu team</t>
        </is>
      </c>
      <c r="O217" s="190" t="n"/>
      <c r="P217" s="190" t="n"/>
      <c r="Q217" s="191" t="n">
        <v>3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Other</t>
        </is>
      </c>
      <c r="D218" s="190" t="n"/>
      <c r="E218" s="190" t="inlineStr">
        <is>
          <t>Candidates Interview</t>
        </is>
      </c>
      <c r="F218" s="190" t="n"/>
      <c r="G218" s="189" t="inlineStr">
        <is>
          <t>2026-06-10</t>
        </is>
      </c>
      <c r="H218" s="189" t="inlineStr">
        <is>
          <t>—</t>
        </is>
      </c>
      <c r="I218" s="189" t="n"/>
      <c r="J218" s="190" t="inlineStr">
        <is>
          <t>Harish Bhat</t>
        </is>
      </c>
      <c r="K218" s="190" t="n"/>
      <c r="L218" s="189" t="inlineStr">
        <is>
          <t>Online</t>
        </is>
      </c>
      <c r="M218" s="189" t="n"/>
      <c r="N218" s="190" t="inlineStr">
        <is>
          <t>Candidates Interview</t>
        </is>
      </c>
      <c r="O218" s="190" t="n"/>
      <c r="P218" s="190" t="n"/>
      <c r="Q218" s="191" t="n">
        <v>0.75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Other</t>
        </is>
      </c>
      <c r="D219" s="190" t="n"/>
      <c r="E219" s="190" t="inlineStr">
        <is>
          <t>Candidates Interview</t>
        </is>
      </c>
      <c r="F219" s="190" t="n"/>
      <c r="G219" s="189" t="inlineStr">
        <is>
          <t>2026-06-10</t>
        </is>
      </c>
      <c r="H219" s="189" t="inlineStr">
        <is>
          <t>—</t>
        </is>
      </c>
      <c r="I219" s="189" t="n"/>
      <c r="J219" s="190" t="inlineStr">
        <is>
          <t>Harish Bhat</t>
        </is>
      </c>
      <c r="K219" s="190" t="n"/>
      <c r="L219" s="189" t="inlineStr">
        <is>
          <t>Online</t>
        </is>
      </c>
      <c r="M219" s="189" t="n"/>
      <c r="N219" s="190" t="inlineStr">
        <is>
          <t>Candidates Interview</t>
        </is>
      </c>
      <c r="O219" s="190" t="n"/>
      <c r="P219" s="190" t="n"/>
      <c r="Q219" s="191" t="n">
        <v>1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Other</t>
        </is>
      </c>
      <c r="D220" s="190" t="n"/>
      <c r="E220" s="190" t="inlineStr">
        <is>
          <t>varsity tickets</t>
        </is>
      </c>
      <c r="F220" s="190" t="n"/>
      <c r="G220" s="189" t="inlineStr">
        <is>
          <t>2026-06-08</t>
        </is>
      </c>
      <c r="H220" s="189" t="inlineStr">
        <is>
          <t>—</t>
        </is>
      </c>
      <c r="I220" s="189" t="n"/>
      <c r="J220" s="190" t="inlineStr">
        <is>
          <t>Harish Bhat</t>
        </is>
      </c>
      <c r="K220" s="190" t="n"/>
      <c r="L220" s="189" t="inlineStr">
        <is>
          <t>Online</t>
        </is>
      </c>
      <c r="M220" s="189" t="n"/>
      <c r="N220" s="190" t="inlineStr">
        <is>
          <t>varsity tickets</t>
        </is>
      </c>
      <c r="O220" s="190" t="n"/>
      <c r="P220" s="190" t="n"/>
      <c r="Q220" s="191" t="n">
        <v>0.25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Other</t>
        </is>
      </c>
      <c r="D221" s="190" t="n"/>
      <c r="E221" s="190" t="inlineStr">
        <is>
          <t>varsity tickets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Harish Bhat</t>
        </is>
      </c>
      <c r="K221" s="190" t="n"/>
      <c r="L221" s="189" t="inlineStr">
        <is>
          <t>Online</t>
        </is>
      </c>
      <c r="M221" s="189" t="n"/>
      <c r="N221" s="190" t="inlineStr">
        <is>
          <t>varsity tickets</t>
        </is>
      </c>
      <c r="O221" s="190" t="n"/>
      <c r="P221" s="190" t="n"/>
      <c r="Q221" s="191" t="n">
        <v>0.25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varsity tickets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Online</t>
        </is>
      </c>
      <c r="M222" s="189" t="n"/>
      <c r="N222" s="190" t="inlineStr">
        <is>
          <t>varsity tickets</t>
        </is>
      </c>
      <c r="O222" s="190" t="n"/>
      <c r="P222" s="190" t="n"/>
      <c r="Q222" s="191" t="n">
        <v>0.25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Support Training</t>
        </is>
      </c>
      <c r="D223" s="190" t="n"/>
      <c r="E223" s="190" t="inlineStr">
        <is>
          <t>Communicate 360- Renu's team</t>
        </is>
      </c>
      <c r="F223" s="190" t="n"/>
      <c r="G223" s="189" t="inlineStr">
        <is>
          <t>2026-06-11</t>
        </is>
      </c>
      <c r="H223" s="189" t="inlineStr">
        <is>
          <t>—</t>
        </is>
      </c>
      <c r="I223" s="189" t="n"/>
      <c r="J223" s="190" t="inlineStr">
        <is>
          <t>Freeda Reshma Dsouza</t>
        </is>
      </c>
      <c r="K223" s="190" t="n"/>
      <c r="L223" s="189" t="inlineStr">
        <is>
          <t>Offline</t>
        </is>
      </c>
      <c r="M223" s="189" t="n"/>
      <c r="N223" s="190" t="inlineStr">
        <is>
          <t>Communicate 360- Renu's team</t>
        </is>
      </c>
      <c r="O223" s="190" t="n"/>
      <c r="P223" s="190" t="n"/>
      <c r="Q223" s="191" t="n">
        <v>2.5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Support Training</t>
        </is>
      </c>
      <c r="D224" s="190" t="n"/>
      <c r="E224" s="190" t="inlineStr">
        <is>
          <t>Review on Pick &amp; Speak -</t>
        </is>
      </c>
      <c r="F224" s="190" t="n"/>
      <c r="G224" s="189" t="inlineStr">
        <is>
          <t>2026-06-11</t>
        </is>
      </c>
      <c r="H224" s="189" t="inlineStr">
        <is>
          <t>—</t>
        </is>
      </c>
      <c r="I224" s="189" t="n"/>
      <c r="J224" s="190" t="inlineStr">
        <is>
          <t>Freeda Reshma Dsouza</t>
        </is>
      </c>
      <c r="K224" s="190" t="n"/>
      <c r="L224" s="189" t="inlineStr">
        <is>
          <t>Online</t>
        </is>
      </c>
      <c r="M224" s="189" t="n"/>
      <c r="N224" s="190" t="inlineStr">
        <is>
          <t>Review on Pick &amp; Speak -</t>
        </is>
      </c>
      <c r="O224" s="190" t="n"/>
      <c r="P224" s="190" t="n"/>
      <c r="Q224" s="191" t="n">
        <v>1.25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Candidates Interview</t>
        </is>
      </c>
      <c r="F225" s="190" t="n"/>
      <c r="G225" s="189" t="inlineStr">
        <is>
          <t>2026-06-12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Online</t>
        </is>
      </c>
      <c r="M225" s="189" t="n"/>
      <c r="N225" s="190" t="inlineStr">
        <is>
          <t>Candidates Interview</t>
        </is>
      </c>
      <c r="O225" s="190" t="n"/>
      <c r="P225" s="190" t="n"/>
      <c r="Q225" s="191" t="n">
        <v>1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varsity tickets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varsity tickets</t>
        </is>
      </c>
      <c r="O226" s="190" t="n"/>
      <c r="P226" s="190" t="n"/>
      <c r="Q226" s="191" t="n">
        <v>0.25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2026-06-11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2026-06-15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exam schedule</t>
        </is>
      </c>
      <c r="F229" s="190" t="n"/>
      <c r="G229" s="189" t="inlineStr">
        <is>
          <t>2026-06-12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exam schedule</t>
        </is>
      </c>
      <c r="O229" s="190" t="n"/>
      <c r="P229" s="190" t="n"/>
      <c r="Q229" s="191" t="n">
        <v>0.5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Assessment</t>
        </is>
      </c>
      <c r="D230" s="190" t="n"/>
      <c r="E230" s="190" t="inlineStr">
        <is>
          <t>Review on mockcall - Renu team</t>
        </is>
      </c>
      <c r="F230" s="190" t="n"/>
      <c r="G230" s="189" t="inlineStr">
        <is>
          <t>2026-06-12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Review on mockcall - Renu team</t>
        </is>
      </c>
      <c r="O230" s="190" t="n"/>
      <c r="P230" s="190" t="n"/>
      <c r="Q230" s="191" t="n">
        <v>4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Assessment</t>
        </is>
      </c>
      <c r="D231" s="190" t="n"/>
      <c r="E231" s="190" t="inlineStr">
        <is>
          <t>Managers training  Assesments discussion &amp; Preperation</t>
        </is>
      </c>
      <c r="F231" s="190" t="n"/>
      <c r="G231" s="189" t="inlineStr">
        <is>
          <t>2026-06-15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Managers training  Assesments discussion &amp; Preperation</t>
        </is>
      </c>
      <c r="O231" s="190" t="n"/>
      <c r="P231" s="190" t="n"/>
      <c r="Q231" s="191" t="n">
        <v>2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Ticket's team mock ticket details preperation</t>
        </is>
      </c>
      <c r="F232" s="190" t="n"/>
      <c r="G232" s="189" t="inlineStr">
        <is>
          <t>2026-06-15</t>
        </is>
      </c>
      <c r="H232" s="189" t="inlineStr">
        <is>
          <t>—</t>
        </is>
      </c>
      <c r="I232" s="189" t="n"/>
      <c r="J232" s="190" t="inlineStr">
        <is>
          <t>Harish Bhat</t>
        </is>
      </c>
      <c r="K232" s="190" t="n"/>
      <c r="L232" s="189" t="inlineStr">
        <is>
          <t>Online</t>
        </is>
      </c>
      <c r="M232" s="189" t="n"/>
      <c r="N232" s="190" t="inlineStr">
        <is>
          <t>Ticket's team mock ticket details preperation</t>
        </is>
      </c>
      <c r="O232" s="190" t="n"/>
      <c r="P232" s="190" t="n"/>
      <c r="Q232" s="191" t="n">
        <v>0.5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Assessment</t>
        </is>
      </c>
      <c r="D233" s="190" t="n"/>
      <c r="E233" s="190" t="inlineStr">
        <is>
          <t>Review on Pick &amp; Speak &amp; mockcall - Renu team</t>
        </is>
      </c>
      <c r="F233" s="190" t="n"/>
      <c r="G233" s="189" t="inlineStr">
        <is>
          <t>2026-06-16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&amp; mockcall - Renu team</t>
        </is>
      </c>
      <c r="O233" s="190" t="n"/>
      <c r="P233" s="190" t="n"/>
      <c r="Q233" s="191" t="n">
        <v>3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Reports email schedule for Pradeep &amp; Priyanka's team</t>
        </is>
      </c>
      <c r="F234" s="190" t="n"/>
      <c r="G234" s="189" t="inlineStr">
        <is>
          <t>2026-06-16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Offline</t>
        </is>
      </c>
      <c r="M234" s="189" t="n"/>
      <c r="N234" s="190" t="inlineStr">
        <is>
          <t>Reports email schedule for Pradeep &amp; Priyanka's team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2026-06-17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Support Training</t>
        </is>
      </c>
      <c r="D236" s="190" t="n"/>
      <c r="E236" s="190" t="inlineStr">
        <is>
          <t>Managers training Assesments Preperation</t>
        </is>
      </c>
      <c r="F236" s="190" t="n"/>
      <c r="G236" s="189" t="inlineStr">
        <is>
          <t>2026-06-16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Managers training Assesments Preperation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script work</t>
        </is>
      </c>
      <c r="F237" s="190" t="n"/>
      <c r="G237" s="189" t="inlineStr">
        <is>
          <t>2026-06-13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Offline</t>
        </is>
      </c>
      <c r="M237" s="189" t="n"/>
      <c r="N237" s="190" t="inlineStr">
        <is>
          <t>Varsity script work</t>
        </is>
      </c>
      <c r="O237" s="190" t="n"/>
      <c r="P237" s="190" t="n"/>
      <c r="Q237" s="191" t="n">
        <v>3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Candidates Interview</t>
        </is>
      </c>
      <c r="F238" s="190" t="n"/>
      <c r="G238" s="189" t="inlineStr">
        <is>
          <t>2026-06-17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Candidates Interview</t>
        </is>
      </c>
      <c r="O238" s="190" t="n"/>
      <c r="P238" s="190" t="n"/>
      <c r="Q238" s="191" t="n">
        <v>1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Other</t>
        </is>
      </c>
      <c r="D239" s="190" t="n"/>
      <c r="E239" s="190" t="inlineStr">
        <is>
          <t>Candidates Interview</t>
        </is>
      </c>
      <c r="F239" s="190" t="n"/>
      <c r="G239" s="189" t="inlineStr">
        <is>
          <t>2026-06-17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Candidates Interview</t>
        </is>
      </c>
      <c r="O239" s="190" t="n"/>
      <c r="P239" s="190" t="n"/>
      <c r="Q239" s="191" t="n">
        <v>1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Communicate 360- Renu's team</t>
        </is>
      </c>
      <c r="F240" s="190" t="n"/>
      <c r="G240" s="189" t="inlineStr">
        <is>
          <t>2026-06-16</t>
        </is>
      </c>
      <c r="H240" s="189" t="inlineStr">
        <is>
          <t>—</t>
        </is>
      </c>
      <c r="I240" s="189" t="n"/>
      <c r="J240" s="190" t="inlineStr">
        <is>
          <t>Freeda Reshma Dsouza</t>
        </is>
      </c>
      <c r="K240" s="190" t="n"/>
      <c r="L240" s="189" t="inlineStr">
        <is>
          <t>Offline</t>
        </is>
      </c>
      <c r="M240" s="189" t="n"/>
      <c r="N240" s="190" t="inlineStr">
        <is>
          <t>Communicate 360- Renu's team</t>
        </is>
      </c>
      <c r="O240" s="190" t="n"/>
      <c r="P240" s="190" t="n"/>
      <c r="Q240" s="191" t="n">
        <v>2.5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Communicate 360- Renu's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Freeda Reshma Dsouza</t>
        </is>
      </c>
      <c r="K241" s="190" t="n"/>
      <c r="L241" s="189" t="inlineStr">
        <is>
          <t>Offline</t>
        </is>
      </c>
      <c r="M241" s="189" t="n"/>
      <c r="N241" s="190" t="inlineStr">
        <is>
          <t>Communicate 360- Renu's team</t>
        </is>
      </c>
      <c r="O241" s="190" t="n"/>
      <c r="P241" s="190" t="n"/>
      <c r="Q241" s="191" t="n">
        <v>2.5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Support Training</t>
        </is>
      </c>
      <c r="D242" s="190" t="n"/>
      <c r="E242" s="190" t="inlineStr">
        <is>
          <t>Communicate 360- Renu's team</t>
        </is>
      </c>
      <c r="F242" s="190" t="n"/>
      <c r="G242" s="189" t="inlineStr">
        <is>
          <t>2026-06-17</t>
        </is>
      </c>
      <c r="H242" s="189" t="inlineStr">
        <is>
          <t>—</t>
        </is>
      </c>
      <c r="I242" s="189" t="n"/>
      <c r="J242" s="190" t="inlineStr">
        <is>
          <t>Freeda Reshma Dsouza</t>
        </is>
      </c>
      <c r="K242" s="190" t="n"/>
      <c r="L242" s="189" t="inlineStr">
        <is>
          <t>Offline</t>
        </is>
      </c>
      <c r="M242" s="189" t="n"/>
      <c r="N242" s="190" t="inlineStr">
        <is>
          <t>Communicate 360- Renu's team</t>
        </is>
      </c>
      <c r="O242" s="190" t="n"/>
      <c r="P242" s="190" t="n"/>
      <c r="Q242" s="191" t="n">
        <v>2.5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Support Training</t>
        </is>
      </c>
      <c r="D243" s="190" t="n"/>
      <c r="E243" s="190" t="inlineStr">
        <is>
          <t>Communicate 360- Renu's team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Freeda Reshma Dsouza</t>
        </is>
      </c>
      <c r="K243" s="190" t="n"/>
      <c r="L243" s="189" t="inlineStr">
        <is>
          <t>Offline</t>
        </is>
      </c>
      <c r="M243" s="189" t="n"/>
      <c r="N243" s="190" t="inlineStr">
        <is>
          <t>Communicate 360- Renu's team</t>
        </is>
      </c>
      <c r="O243" s="190" t="n"/>
      <c r="P243" s="190" t="n"/>
      <c r="Q243" s="191" t="n">
        <v>2.5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Communicate 360- Renu's team</t>
        </is>
      </c>
      <c r="F244" s="190" t="n"/>
      <c r="G244" s="189" t="inlineStr">
        <is>
          <t>2026-06-18</t>
        </is>
      </c>
      <c r="H244" s="189" t="inlineStr">
        <is>
          <t>—</t>
        </is>
      </c>
      <c r="I244" s="189" t="n"/>
      <c r="J244" s="190" t="inlineStr">
        <is>
          <t>Freeda Reshma Dsouza</t>
        </is>
      </c>
      <c r="K244" s="190" t="n"/>
      <c r="L244" s="189" t="inlineStr">
        <is>
          <t>Offline</t>
        </is>
      </c>
      <c r="M244" s="189" t="n"/>
      <c r="N244" s="190" t="inlineStr">
        <is>
          <t>Communicate 360- Renu's team</t>
        </is>
      </c>
      <c r="O244" s="190" t="n"/>
      <c r="P244" s="190" t="n"/>
      <c r="Q244" s="191" t="n">
        <v>2.5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Communicate 360- Renu's team</t>
        </is>
      </c>
      <c r="F245" s="190" t="n"/>
      <c r="G245" s="189" t="inlineStr">
        <is>
          <t>2026-06-18</t>
        </is>
      </c>
      <c r="H245" s="189" t="inlineStr">
        <is>
          <t>—</t>
        </is>
      </c>
      <c r="I245" s="189" t="n"/>
      <c r="J245" s="190" t="inlineStr">
        <is>
          <t>Freeda Reshma Dsouza</t>
        </is>
      </c>
      <c r="K245" s="190" t="n"/>
      <c r="L245" s="189" t="inlineStr">
        <is>
          <t>Offline</t>
        </is>
      </c>
      <c r="M245" s="189" t="n"/>
      <c r="N245" s="190" t="inlineStr">
        <is>
          <t>Communicate 360- Renu's team</t>
        </is>
      </c>
      <c r="O245" s="190" t="n"/>
      <c r="P245" s="190" t="n"/>
      <c r="Q245" s="191" t="n">
        <v>2.5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Support Training</t>
        </is>
      </c>
      <c r="D246" s="190" t="n"/>
      <c r="E246" s="190" t="inlineStr">
        <is>
          <t>Communicate 360- Renu's team</t>
        </is>
      </c>
      <c r="F246" s="190" t="n"/>
      <c r="G246" s="189" t="inlineStr">
        <is>
          <t>2026-06-19</t>
        </is>
      </c>
      <c r="H246" s="189" t="inlineStr">
        <is>
          <t>—</t>
        </is>
      </c>
      <c r="I246" s="189" t="n"/>
      <c r="J246" s="190" t="inlineStr">
        <is>
          <t>Freeda Reshma Dsouza</t>
        </is>
      </c>
      <c r="K246" s="190" t="n"/>
      <c r="L246" s="189" t="inlineStr">
        <is>
          <t>Offline</t>
        </is>
      </c>
      <c r="M246" s="189" t="n"/>
      <c r="N246" s="190" t="inlineStr">
        <is>
          <t>Communicate 360- Renu's team</t>
        </is>
      </c>
      <c r="O246" s="190" t="n"/>
      <c r="P246" s="190" t="n"/>
      <c r="Q246" s="191" t="n">
        <v>2.75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Support Training</t>
        </is>
      </c>
      <c r="D247" s="190" t="n"/>
      <c r="E247" s="190" t="inlineStr">
        <is>
          <t>Communicate 360- Renu's team</t>
        </is>
      </c>
      <c r="F247" s="190" t="n"/>
      <c r="G247" s="189" t="inlineStr">
        <is>
          <t>2026-06-19</t>
        </is>
      </c>
      <c r="H247" s="189" t="inlineStr">
        <is>
          <t>—</t>
        </is>
      </c>
      <c r="I247" s="189" t="n"/>
      <c r="J247" s="190" t="inlineStr">
        <is>
          <t>Freeda Reshma Dsouza</t>
        </is>
      </c>
      <c r="K247" s="190" t="n"/>
      <c r="L247" s="189" t="inlineStr">
        <is>
          <t>Offline</t>
        </is>
      </c>
      <c r="M247" s="189" t="n"/>
      <c r="N247" s="190" t="inlineStr">
        <is>
          <t>Communicate 360- Renu's team</t>
        </is>
      </c>
      <c r="O247" s="190" t="n"/>
      <c r="P247" s="190" t="n"/>
      <c r="Q247" s="191" t="n">
        <v>2.75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Tickets team Communicate 360 training</t>
        </is>
      </c>
      <c r="F248" s="190" t="n"/>
      <c r="G248" s="189" t="inlineStr">
        <is>
          <t>2026-06-29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Tickets team Communicate 360 training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Tickets team communicate 360 training</t>
        </is>
      </c>
      <c r="F249" s="190" t="n"/>
      <c r="G249" s="189" t="inlineStr">
        <is>
          <t>2026-06-30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Tickets team communicate 360 training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Tickets team communicate 360 training</t>
        </is>
      </c>
      <c r="F250" s="190" t="n"/>
      <c r="G250" s="189" t="inlineStr">
        <is>
          <t>2026-06-30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Tickets team communicate 360 training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NRI Sales and Acop Training session</t>
        </is>
      </c>
      <c r="F251" s="190" t="n"/>
      <c r="G251" s="189" t="inlineStr">
        <is>
          <t>2026-06-10</t>
        </is>
      </c>
      <c r="H251" s="189" t="inlineStr">
        <is>
          <t>—</t>
        </is>
      </c>
      <c r="I251" s="189" t="n"/>
      <c r="J251" s="190" t="inlineStr">
        <is>
          <t>Girish A</t>
        </is>
      </c>
      <c r="K251" s="190" t="n"/>
      <c r="L251" s="189" t="inlineStr">
        <is>
          <t>Offline</t>
        </is>
      </c>
      <c r="M251" s="189" t="n"/>
      <c r="N251" s="190" t="inlineStr">
        <is>
          <t>NRI Sales and Acop Training session</t>
        </is>
      </c>
      <c r="O251" s="190" t="n"/>
      <c r="P251" s="190" t="n"/>
      <c r="Q251" s="191" t="n">
        <v>6.5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NRI Sales and Acop Training session</t>
        </is>
      </c>
      <c r="F252" s="190" t="n"/>
      <c r="G252" s="189" t="inlineStr">
        <is>
          <t>2026-06-11</t>
        </is>
      </c>
      <c r="H252" s="189" t="inlineStr">
        <is>
          <t>—</t>
        </is>
      </c>
      <c r="I252" s="189" t="n"/>
      <c r="J252" s="190" t="inlineStr">
        <is>
          <t>Girish A</t>
        </is>
      </c>
      <c r="K252" s="190" t="n"/>
      <c r="L252" s="189" t="inlineStr">
        <is>
          <t>Offline</t>
        </is>
      </c>
      <c r="M252" s="189" t="n"/>
      <c r="N252" s="190" t="inlineStr">
        <is>
          <t>NRI Sales and Acop Training session</t>
        </is>
      </c>
      <c r="O252" s="190" t="n"/>
      <c r="P252" s="190" t="n"/>
      <c r="Q252" s="191" t="n">
        <v>6.5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NRI Sales and Acop Training session</t>
        </is>
      </c>
      <c r="F253" s="190" t="n"/>
      <c r="G253" s="189" t="inlineStr">
        <is>
          <t>2026-06-12</t>
        </is>
      </c>
      <c r="H253" s="189" t="inlineStr">
        <is>
          <t>—</t>
        </is>
      </c>
      <c r="I253" s="189" t="n"/>
      <c r="J253" s="190" t="inlineStr">
        <is>
          <t>Girish A</t>
        </is>
      </c>
      <c r="K253" s="190" t="n"/>
      <c r="L253" s="189" t="inlineStr">
        <is>
          <t>Offline</t>
        </is>
      </c>
      <c r="M253" s="189" t="n"/>
      <c r="N253" s="190" t="inlineStr">
        <is>
          <t>NRI Sales and Acop Training session</t>
        </is>
      </c>
      <c r="O253" s="190" t="n"/>
      <c r="P253" s="190" t="n"/>
      <c r="Q253" s="191" t="n">
        <v>6.5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NRI Sales and Acop Training session</t>
        </is>
      </c>
      <c r="F254" s="190" t="n"/>
      <c r="G254" s="189" t="inlineStr">
        <is>
          <t>2026-06-15</t>
        </is>
      </c>
      <c r="H254" s="189" t="inlineStr">
        <is>
          <t>—</t>
        </is>
      </c>
      <c r="I254" s="189" t="n"/>
      <c r="J254" s="190" t="inlineStr">
        <is>
          <t>Girish A</t>
        </is>
      </c>
      <c r="K254" s="190" t="n"/>
      <c r="L254" s="189" t="inlineStr">
        <is>
          <t>Offline</t>
        </is>
      </c>
      <c r="M254" s="189" t="n"/>
      <c r="N254" s="190" t="inlineStr">
        <is>
          <t>NRI Sales and Acop Training session</t>
        </is>
      </c>
      <c r="O254" s="190" t="n"/>
      <c r="P254" s="190" t="n"/>
      <c r="Q254" s="191" t="n">
        <v>6.5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NRI Sales and Acop Training session</t>
        </is>
      </c>
      <c r="F255" s="190" t="n"/>
      <c r="G255" s="189" t="inlineStr">
        <is>
          <t>2026-06-16</t>
        </is>
      </c>
      <c r="H255" s="189" t="inlineStr">
        <is>
          <t>—</t>
        </is>
      </c>
      <c r="I255" s="189" t="n"/>
      <c r="J255" s="190" t="inlineStr">
        <is>
          <t>Girish A</t>
        </is>
      </c>
      <c r="K255" s="190" t="n"/>
      <c r="L255" s="189" t="inlineStr">
        <is>
          <t>Offline</t>
        </is>
      </c>
      <c r="M255" s="189" t="n"/>
      <c r="N255" s="190" t="inlineStr">
        <is>
          <t>NRI Sales and Acop Training session</t>
        </is>
      </c>
      <c r="O255" s="190" t="n"/>
      <c r="P255" s="190" t="n"/>
      <c r="Q255" s="191" t="n">
        <v>6.5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NRI Sales and Acop Training session</t>
        </is>
      </c>
      <c r="F256" s="190" t="n"/>
      <c r="G256" s="189" t="inlineStr">
        <is>
          <t>2026-06-17</t>
        </is>
      </c>
      <c r="H256" s="189" t="inlineStr">
        <is>
          <t>—</t>
        </is>
      </c>
      <c r="I256" s="189" t="n"/>
      <c r="J256" s="190" t="inlineStr">
        <is>
          <t>Girish A</t>
        </is>
      </c>
      <c r="K256" s="190" t="n"/>
      <c r="L256" s="189" t="inlineStr">
        <is>
          <t>Offline</t>
        </is>
      </c>
      <c r="M256" s="189" t="n"/>
      <c r="N256" s="190" t="inlineStr">
        <is>
          <t>NRI Sales and Acop Training session</t>
        </is>
      </c>
      <c r="O256" s="190" t="n"/>
      <c r="P256" s="190" t="n"/>
      <c r="Q256" s="191" t="n">
        <v>6.5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NRI Sales and Acop Training session</t>
        </is>
      </c>
      <c r="F257" s="190" t="n"/>
      <c r="G257" s="189" t="inlineStr">
        <is>
          <t>2026-06-18</t>
        </is>
      </c>
      <c r="H257" s="189" t="inlineStr">
        <is>
          <t>—</t>
        </is>
      </c>
      <c r="I257" s="189" t="n"/>
      <c r="J257" s="190" t="inlineStr">
        <is>
          <t>Girish A</t>
        </is>
      </c>
      <c r="K257" s="190" t="n"/>
      <c r="L257" s="189" t="inlineStr">
        <is>
          <t>Offline</t>
        </is>
      </c>
      <c r="M257" s="189" t="n"/>
      <c r="N257" s="190" t="inlineStr">
        <is>
          <t>NRI Sales and Acop Training session</t>
        </is>
      </c>
      <c r="O257" s="190" t="n"/>
      <c r="P257" s="190" t="n"/>
      <c r="Q257" s="191" t="n">
        <v>6.5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NRI Sales and Acop Training session</t>
        </is>
      </c>
      <c r="F258" s="190" t="n"/>
      <c r="G258" s="189" t="inlineStr">
        <is>
          <t>2026-06-19</t>
        </is>
      </c>
      <c r="H258" s="189" t="inlineStr">
        <is>
          <t>—</t>
        </is>
      </c>
      <c r="I258" s="189" t="n"/>
      <c r="J258" s="190" t="inlineStr">
        <is>
          <t>Girish A</t>
        </is>
      </c>
      <c r="K258" s="190" t="n"/>
      <c r="L258" s="189" t="inlineStr">
        <is>
          <t>Offline</t>
        </is>
      </c>
      <c r="M258" s="189" t="n"/>
      <c r="N258" s="190" t="inlineStr">
        <is>
          <t>NRI Sales and Acop Training session</t>
        </is>
      </c>
      <c r="O258" s="190" t="n"/>
      <c r="P258" s="190" t="n"/>
      <c r="Q258" s="191" t="n">
        <v>6.5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Other</t>
        </is>
      </c>
      <c r="D259" s="190" t="n"/>
      <c r="E259" s="190" t="inlineStr">
        <is>
          <t>NRI Sales and Acop Question paper preparation</t>
        </is>
      </c>
      <c r="F259" s="190" t="n"/>
      <c r="G259" s="189" t="inlineStr">
        <is>
          <t>2026-06-20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Question paper preparation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Other</t>
        </is>
      </c>
      <c r="D260" s="190" t="n"/>
      <c r="E260" s="190" t="inlineStr">
        <is>
          <t>LMS Tool testing and conducting Exam</t>
        </is>
      </c>
      <c r="F260" s="190" t="n"/>
      <c r="G260" s="189" t="inlineStr">
        <is>
          <t>2026-06-25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Online</t>
        </is>
      </c>
      <c r="M260" s="189" t="n"/>
      <c r="N260" s="190" t="inlineStr">
        <is>
          <t>LMS Tool testing and conducting Exam</t>
        </is>
      </c>
      <c r="O260" s="190" t="n"/>
      <c r="P260" s="190" t="n"/>
      <c r="Q260" s="191" t="n">
        <v>4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2026-06-22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2026-06-23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 (Soft skills)</t>
        </is>
      </c>
      <c r="F263" s="190" t="n"/>
      <c r="G263" s="189" t="inlineStr">
        <is>
          <t>2026-06-24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Online</t>
        </is>
      </c>
      <c r="M263" s="189" t="n"/>
      <c r="N263" s="190" t="inlineStr">
        <is>
          <t>NRI Sales and Acop Training session (Soft skills)</t>
        </is>
      </c>
      <c r="O263" s="190" t="n"/>
      <c r="P263" s="190" t="n"/>
      <c r="Q263" s="191" t="n">
        <v>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OJT</t>
        </is>
      </c>
      <c r="F264" s="190" t="n"/>
      <c r="G264" s="189" t="inlineStr">
        <is>
          <t>2026-06-30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Online</t>
        </is>
      </c>
      <c r="M264" s="189" t="n"/>
      <c r="N264" s="190" t="inlineStr">
        <is>
          <t>NRI Sales and Acop OJT</t>
        </is>
      </c>
      <c r="O264" s="190" t="n"/>
      <c r="P264" s="190" t="n"/>
      <c r="Q264" s="191" t="n">
        <v>2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Soft Skills training - New Hire - NRI sales</t>
        </is>
      </c>
      <c r="F265" s="190" t="n"/>
      <c r="G265" s="189" t="inlineStr">
        <is>
          <t>2026-06-24</t>
        </is>
      </c>
      <c r="H265" s="189" t="inlineStr">
        <is>
          <t>—</t>
        </is>
      </c>
      <c r="I265" s="189" t="n"/>
      <c r="J265" s="190" t="inlineStr">
        <is>
          <t>Freeda Reshma Dsouza</t>
        </is>
      </c>
      <c r="K265" s="190" t="n"/>
      <c r="L265" s="189" t="inlineStr">
        <is>
          <t>Offline</t>
        </is>
      </c>
      <c r="M265" s="189" t="n"/>
      <c r="N265" s="190" t="inlineStr">
        <is>
          <t>Soft Skills training - New Hire - NRI sales</t>
        </is>
      </c>
      <c r="O265" s="190" t="n"/>
      <c r="P265" s="190" t="n"/>
      <c r="Q265" s="191" t="n">
        <v>4.5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Other</t>
        </is>
      </c>
      <c r="D266" s="190" t="n"/>
      <c r="E266" s="190" t="inlineStr">
        <is>
          <t>Candidates Interview</t>
        </is>
      </c>
      <c r="F266" s="190" t="n"/>
      <c r="G266" s="189" t="inlineStr">
        <is>
          <t>2026-06-25</t>
        </is>
      </c>
      <c r="H266" s="189" t="inlineStr">
        <is>
          <t>—</t>
        </is>
      </c>
      <c r="I266" s="189" t="n"/>
      <c r="J266" s="190" t="inlineStr">
        <is>
          <t>Harish Bhat</t>
        </is>
      </c>
      <c r="K266" s="190" t="n"/>
      <c r="L266" s="189" t="inlineStr">
        <is>
          <t>Online</t>
        </is>
      </c>
      <c r="M266" s="189" t="n"/>
      <c r="N266" s="190" t="inlineStr">
        <is>
          <t>Candidates Interview</t>
        </is>
      </c>
      <c r="O266" s="190" t="n"/>
      <c r="P266" s="190" t="n"/>
      <c r="Q266" s="191" t="n">
        <v>1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Candidates Interview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Harish Bhat</t>
        </is>
      </c>
      <c r="K267" s="190" t="n"/>
      <c r="L267" s="189" t="inlineStr">
        <is>
          <t>Online</t>
        </is>
      </c>
      <c r="M267" s="189" t="n"/>
      <c r="N267" s="190" t="inlineStr">
        <is>
          <t>Candidates Interview</t>
        </is>
      </c>
      <c r="O267" s="190" t="n"/>
      <c r="P267" s="190" t="n"/>
      <c r="Q267" s="191" t="n">
        <v>1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Assessment</t>
        </is>
      </c>
      <c r="D268" s="190" t="n"/>
      <c r="E268" s="190" t="inlineStr">
        <is>
          <t>Review on Pick &amp; Speak &amp; mockcall - Renu team</t>
        </is>
      </c>
      <c r="F268" s="190" t="n"/>
      <c r="G268" s="189" t="inlineStr">
        <is>
          <t>2026-06-18</t>
        </is>
      </c>
      <c r="H268" s="189" t="inlineStr">
        <is>
          <t>—</t>
        </is>
      </c>
      <c r="I268" s="189" t="n"/>
      <c r="J268" s="190" t="inlineStr">
        <is>
          <t>Harish Bhat</t>
        </is>
      </c>
      <c r="K268" s="190" t="n"/>
      <c r="L268" s="189" t="inlineStr">
        <is>
          <t>Online</t>
        </is>
      </c>
      <c r="M268" s="189" t="n"/>
      <c r="N268" s="190" t="inlineStr">
        <is>
          <t>Review on Pick &amp; Speak &amp; mockcall - Renu team</t>
        </is>
      </c>
      <c r="O268" s="190" t="n"/>
      <c r="P268" s="190" t="n"/>
      <c r="Q268" s="191" t="n">
        <v>3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Libredesk Demo</t>
        </is>
      </c>
      <c r="F269" s="190" t="n"/>
      <c r="G269" s="189" t="inlineStr">
        <is>
          <t>2026-06-30</t>
        </is>
      </c>
      <c r="H269" s="189" t="inlineStr">
        <is>
          <t>—</t>
        </is>
      </c>
      <c r="I269" s="189" t="n"/>
      <c r="J269" s="190" t="inlineStr">
        <is>
          <t>Harish Bhat</t>
        </is>
      </c>
      <c r="K269" s="190" t="n"/>
      <c r="L269" s="189" t="inlineStr">
        <is>
          <t>Online</t>
        </is>
      </c>
      <c r="M269" s="189" t="n"/>
      <c r="N269" s="190" t="inlineStr">
        <is>
          <t>Libredesk Demo</t>
        </is>
      </c>
      <c r="O269" s="190" t="n"/>
      <c r="P269" s="190" t="n"/>
      <c r="Q269" s="191" t="n">
        <v>1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Libredesk session preperation</t>
        </is>
      </c>
      <c r="F270" s="190" t="n"/>
      <c r="G270" s="189" t="inlineStr">
        <is>
          <t>2026-06-30</t>
        </is>
      </c>
      <c r="H270" s="189" t="inlineStr">
        <is>
          <t>—</t>
        </is>
      </c>
      <c r="I270" s="189" t="n"/>
      <c r="J270" s="190" t="inlineStr">
        <is>
          <t>Harish Bhat</t>
        </is>
      </c>
      <c r="K270" s="190" t="n"/>
      <c r="L270" s="189" t="inlineStr">
        <is>
          <t>Online</t>
        </is>
      </c>
      <c r="M270" s="189" t="n"/>
      <c r="N270" s="190" t="inlineStr">
        <is>
          <t>Libredesk session preperation</t>
        </is>
      </c>
      <c r="O270" s="190" t="n"/>
      <c r="P270" s="190" t="n"/>
      <c r="Q270" s="191" t="n">
        <v>2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Accop OJT</t>
        </is>
      </c>
      <c r="F271" s="190" t="n"/>
      <c r="G271" s="189" t="inlineStr">
        <is>
          <t>2026-06-30</t>
        </is>
      </c>
      <c r="H271" s="189" t="inlineStr">
        <is>
          <t>—</t>
        </is>
      </c>
      <c r="I271" s="189" t="n"/>
      <c r="J271" s="190" t="inlineStr">
        <is>
          <t>Harish Bhat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Accop OJT</t>
        </is>
      </c>
      <c r="O271" s="190" t="n"/>
      <c r="P271" s="190" t="n"/>
      <c r="Q271" s="191" t="n">
        <v>2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Other</t>
        </is>
      </c>
      <c r="D272" s="190" t="n"/>
      <c r="E272" s="190" t="inlineStr">
        <is>
          <t>Managers &amp; NRI Assesments discussion</t>
        </is>
      </c>
      <c r="F272" s="190" t="n"/>
      <c r="G272" s="189" t="inlineStr">
        <is>
          <t>2026-06-29</t>
        </is>
      </c>
      <c r="H272" s="189" t="inlineStr">
        <is>
          <t>—</t>
        </is>
      </c>
      <c r="I272" s="189" t="n"/>
      <c r="J272" s="190" t="inlineStr">
        <is>
          <t>Harish Bhat</t>
        </is>
      </c>
      <c r="K272" s="190" t="n"/>
      <c r="L272" s="189" t="inlineStr">
        <is>
          <t>Online</t>
        </is>
      </c>
      <c r="M272" s="189" t="n"/>
      <c r="N272" s="190" t="inlineStr">
        <is>
          <t>Managers &amp; NRI Assesments discussion</t>
        </is>
      </c>
      <c r="O272" s="190" t="n"/>
      <c r="P272" s="190" t="n"/>
      <c r="Q272" s="191" t="n">
        <v>1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Other</t>
        </is>
      </c>
      <c r="D273" s="190" t="n"/>
      <c r="E273" s="190" t="inlineStr">
        <is>
          <t>lms tool testing</t>
        </is>
      </c>
      <c r="F273" s="190" t="n"/>
      <c r="G273" s="189" t="inlineStr">
        <is>
          <t>2026-06-25</t>
        </is>
      </c>
      <c r="H273" s="189" t="inlineStr">
        <is>
          <t>—</t>
        </is>
      </c>
      <c r="I273" s="189" t="n"/>
      <c r="J273" s="190" t="inlineStr">
        <is>
          <t>Harish Bhat</t>
        </is>
      </c>
      <c r="K273" s="190" t="n"/>
      <c r="L273" s="189" t="inlineStr">
        <is>
          <t>Online</t>
        </is>
      </c>
      <c r="M273" s="189" t="n"/>
      <c r="N273" s="190" t="inlineStr">
        <is>
          <t>lms tool testing</t>
        </is>
      </c>
      <c r="O273" s="190" t="n"/>
      <c r="P273" s="190" t="n"/>
      <c r="Q273" s="191" t="n">
        <v>4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lms tool testing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lms tool testing</t>
        </is>
      </c>
      <c r="O274" s="190" t="n"/>
      <c r="P274" s="190" t="n"/>
      <c r="Q274" s="191" t="n">
        <v>4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lms tool testing</t>
        </is>
      </c>
      <c r="F275" s="190" t="n"/>
      <c r="G275" s="189" t="inlineStr">
        <is>
          <t>2026-06-23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lms tool testing</t>
        </is>
      </c>
      <c r="O275" s="190" t="n"/>
      <c r="P275" s="190" t="n"/>
      <c r="Q275" s="191" t="n">
        <v>4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lms tool testing</t>
        </is>
      </c>
      <c r="F276" s="190" t="n"/>
      <c r="G276" s="189" t="inlineStr">
        <is>
          <t>2026-06-22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lms tool testing</t>
        </is>
      </c>
      <c r="O276" s="190" t="n"/>
      <c r="P276" s="190" t="n"/>
      <c r="Q276" s="191" t="n">
        <v>4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Other</t>
        </is>
      </c>
      <c r="D277" s="190" t="n"/>
      <c r="E277" s="190" t="inlineStr">
        <is>
          <t>varsity tickets</t>
        </is>
      </c>
      <c r="F277" s="190" t="n"/>
      <c r="G277" s="189" t="inlineStr">
        <is>
          <t>2026-06-12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varsity tickets</t>
        </is>
      </c>
      <c r="O277" s="190" t="n"/>
      <c r="P277" s="190" t="n"/>
      <c r="Q277" s="191" t="n">
        <v>0.25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Other</t>
        </is>
      </c>
      <c r="D278" s="190" t="n"/>
      <c r="E278" s="190" t="inlineStr">
        <is>
          <t>varsity tickets</t>
        </is>
      </c>
      <c r="F278" s="190" t="n"/>
      <c r="G278" s="189" t="inlineStr">
        <is>
          <t>2026-06-15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varsity tickets</t>
        </is>
      </c>
      <c r="O278" s="190" t="n"/>
      <c r="P278" s="190" t="n"/>
      <c r="Q278" s="191" t="n">
        <v>0.25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Other</t>
        </is>
      </c>
      <c r="D279" s="190" t="n"/>
      <c r="E279" s="190" t="inlineStr">
        <is>
          <t>varsity tickets</t>
        </is>
      </c>
      <c r="F279" s="190" t="n"/>
      <c r="G279" s="189" t="inlineStr">
        <is>
          <t>2026-06-16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varsity tickets</t>
        </is>
      </c>
      <c r="O279" s="190" t="n"/>
      <c r="P279" s="190" t="n"/>
      <c r="Q279" s="191" t="n">
        <v>0.25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varsity tickets</t>
        </is>
      </c>
      <c r="F280" s="190" t="n"/>
      <c r="G280" s="189" t="inlineStr">
        <is>
          <t>2026-06-17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varsity tickets</t>
        </is>
      </c>
      <c r="O280" s="190" t="n"/>
      <c r="P280" s="190" t="n"/>
      <c r="Q280" s="191" t="n">
        <v>0.25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varsity tickets</t>
        </is>
      </c>
      <c r="F281" s="190" t="n"/>
      <c r="G281" s="189" t="inlineStr">
        <is>
          <t>2026-06-18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varsity tickets</t>
        </is>
      </c>
      <c r="O281" s="190" t="n"/>
      <c r="P281" s="190" t="n"/>
      <c r="Q281" s="191" t="n">
        <v>0.25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varsity tickets</t>
        </is>
      </c>
      <c r="F282" s="190" t="n"/>
      <c r="G282" s="189" t="inlineStr">
        <is>
          <t>2026-06-19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varsity tickets</t>
        </is>
      </c>
      <c r="O282" s="190" t="n"/>
      <c r="P282" s="190" t="n"/>
      <c r="Q282" s="191" t="n">
        <v>0.25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varsity tickets</t>
        </is>
      </c>
      <c r="F283" s="190" t="n"/>
      <c r="G283" s="189" t="inlineStr">
        <is>
          <t>2026-06-22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varsity tickets</t>
        </is>
      </c>
      <c r="O283" s="190" t="n"/>
      <c r="P283" s="190" t="n"/>
      <c r="Q283" s="191" t="n">
        <v>0.25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varsity tickets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varsity tickets</t>
        </is>
      </c>
      <c r="O284" s="190" t="n"/>
      <c r="P284" s="190" t="n"/>
      <c r="Q284" s="191" t="n">
        <v>0.25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2026-06-24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2026-06-25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2026-06-29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2026-06-30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July 2026</t>
        </is>
      </c>
      <c r="C289" s="190" t="inlineStr">
        <is>
          <t>Support Training</t>
        </is>
      </c>
      <c r="D289" s="190" t="n"/>
      <c r="E289" s="190" t="inlineStr">
        <is>
          <t>Tickets team communicate 360 training</t>
        </is>
      </c>
      <c r="F289" s="190" t="n"/>
      <c r="G289" s="189" t="inlineStr">
        <is>
          <t>2026-07-01</t>
        </is>
      </c>
      <c r="H289" s="189" t="inlineStr">
        <is>
          <t>—</t>
        </is>
      </c>
      <c r="I289" s="189" t="n"/>
      <c r="J289" s="190" t="inlineStr">
        <is>
          <t>Freeda Reshma Dsouza</t>
        </is>
      </c>
      <c r="K289" s="190" t="n"/>
      <c r="L289" s="189" t="inlineStr">
        <is>
          <t>Offline</t>
        </is>
      </c>
      <c r="M289" s="189" t="n"/>
      <c r="N289" s="190" t="inlineStr">
        <is>
          <t>Tickets team communicate 360 training</t>
        </is>
      </c>
      <c r="O289" s="190" t="n"/>
      <c r="P289" s="190" t="n"/>
      <c r="Q289" s="191" t="n">
        <v>2.5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July 2026</t>
        </is>
      </c>
      <c r="C290" s="190" t="inlineStr">
        <is>
          <t>Support Training</t>
        </is>
      </c>
      <c r="D290" s="190" t="n"/>
      <c r="E290" s="190" t="inlineStr">
        <is>
          <t>Tickets team communicate 360 training</t>
        </is>
      </c>
      <c r="F290" s="190" t="n"/>
      <c r="G290" s="189" t="inlineStr">
        <is>
          <t>2026-07-01</t>
        </is>
      </c>
      <c r="H290" s="189" t="inlineStr">
        <is>
          <t>—</t>
        </is>
      </c>
      <c r="I290" s="189" t="n"/>
      <c r="J290" s="190" t="inlineStr">
        <is>
          <t>Freeda Reshma Dsouza</t>
        </is>
      </c>
      <c r="K290" s="190" t="n"/>
      <c r="L290" s="189" t="inlineStr">
        <is>
          <t>Offline</t>
        </is>
      </c>
      <c r="M290" s="189" t="n"/>
      <c r="N290" s="190" t="inlineStr">
        <is>
          <t>Tickets team communicate 360 training</t>
        </is>
      </c>
      <c r="O290" s="190" t="n"/>
      <c r="P290" s="190" t="n"/>
      <c r="Q290" s="191" t="n">
        <v>3.5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July 2026</t>
        </is>
      </c>
      <c r="C291" s="190" t="inlineStr">
        <is>
          <t>Support Training</t>
        </is>
      </c>
      <c r="D291" s="190" t="n"/>
      <c r="E291" s="190" t="inlineStr">
        <is>
          <t>Tickets team P&amp;S reviewing</t>
        </is>
      </c>
      <c r="F291" s="190" t="n"/>
      <c r="G291" s="189" t="inlineStr">
        <is>
          <t>2026-07-01</t>
        </is>
      </c>
      <c r="H291" s="189" t="inlineStr">
        <is>
          <t>—</t>
        </is>
      </c>
      <c r="I291" s="189" t="n"/>
      <c r="J291" s="190" t="inlineStr">
        <is>
          <t>Girish A</t>
        </is>
      </c>
      <c r="K291" s="190" t="n"/>
      <c r="L291" s="189" t="inlineStr">
        <is>
          <t>Online</t>
        </is>
      </c>
      <c r="M291" s="189" t="n"/>
      <c r="N291" s="190" t="inlineStr">
        <is>
          <t>Tickets team P&amp;S reviewing</t>
        </is>
      </c>
      <c r="O291" s="190" t="n"/>
      <c r="P291" s="190" t="n"/>
      <c r="Q291" s="191" t="n">
        <v>2.5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July 2026</t>
        </is>
      </c>
      <c r="C292" s="190" t="inlineStr">
        <is>
          <t>Support Training</t>
        </is>
      </c>
      <c r="D292" s="190" t="n"/>
      <c r="E292" s="190" t="inlineStr">
        <is>
          <t>Scheduling the email for the previous batch for Comm360</t>
        </is>
      </c>
      <c r="F292" s="190" t="n"/>
      <c r="G292" s="189" t="inlineStr">
        <is>
          <t>2026-07-01</t>
        </is>
      </c>
      <c r="H292" s="189" t="inlineStr">
        <is>
          <t>—</t>
        </is>
      </c>
      <c r="I292" s="189" t="n"/>
      <c r="J292" s="190" t="inlineStr">
        <is>
          <t>Girish A</t>
        </is>
      </c>
      <c r="K292" s="190" t="n"/>
      <c r="L292" s="189" t="inlineStr">
        <is>
          <t>Online</t>
        </is>
      </c>
      <c r="M292" s="189" t="n"/>
      <c r="N292" s="190" t="inlineStr">
        <is>
          <t>Scheduling the email for the previous batch for Comm360</t>
        </is>
      </c>
      <c r="O292" s="190" t="n"/>
      <c r="P292" s="190" t="n"/>
      <c r="Q292" s="191" t="n">
        <v>2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July 2026</t>
        </is>
      </c>
      <c r="C293" s="190" t="inlineStr">
        <is>
          <t>Other</t>
        </is>
      </c>
      <c r="D293" s="190" t="n"/>
      <c r="E293" s="190" t="inlineStr">
        <is>
          <t>LMS tool testing</t>
        </is>
      </c>
      <c r="F293" s="190" t="n"/>
      <c r="G293" s="189" t="inlineStr">
        <is>
          <t>2026-07-02</t>
        </is>
      </c>
      <c r="H293" s="189" t="inlineStr">
        <is>
          <t>—</t>
        </is>
      </c>
      <c r="I293" s="189" t="n"/>
      <c r="J293" s="190" t="inlineStr">
        <is>
          <t>Girish A</t>
        </is>
      </c>
      <c r="K293" s="190" t="n"/>
      <c r="L293" s="189" t="inlineStr">
        <is>
          <t>Online</t>
        </is>
      </c>
      <c r="M293" s="189" t="n"/>
      <c r="N293" s="190" t="inlineStr">
        <is>
          <t>LMS tool testing</t>
        </is>
      </c>
      <c r="O293" s="190" t="n"/>
      <c r="P293" s="190" t="n"/>
      <c r="Q293" s="191" t="n">
        <v>1.5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July 2026</t>
        </is>
      </c>
      <c r="C294" s="190" t="inlineStr">
        <is>
          <t>Other</t>
        </is>
      </c>
      <c r="D294" s="190" t="n"/>
      <c r="E294" s="190" t="inlineStr">
        <is>
          <t>LMS tool testing</t>
        </is>
      </c>
      <c r="F294" s="190" t="n"/>
      <c r="G294" s="189" t="inlineStr">
        <is>
          <t>2026-07-03</t>
        </is>
      </c>
      <c r="H294" s="189" t="inlineStr">
        <is>
          <t>—</t>
        </is>
      </c>
      <c r="I294" s="189" t="n"/>
      <c r="J294" s="190" t="inlineStr">
        <is>
          <t>Girish A</t>
        </is>
      </c>
      <c r="K294" s="190" t="n"/>
      <c r="L294" s="189" t="inlineStr">
        <is>
          <t>Online</t>
        </is>
      </c>
      <c r="M294" s="189" t="n"/>
      <c r="N294" s="190" t="inlineStr">
        <is>
          <t>LMS tool testing</t>
        </is>
      </c>
      <c r="O294" s="190" t="n"/>
      <c r="P294" s="190" t="n"/>
      <c r="Q294" s="191" t="n">
        <v>1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July 2026</t>
        </is>
      </c>
      <c r="C295" s="190" t="inlineStr">
        <is>
          <t>Support Training</t>
        </is>
      </c>
      <c r="D295" s="190" t="n"/>
      <c r="E295" s="190" t="inlineStr">
        <is>
          <t>NRI OJT</t>
        </is>
      </c>
      <c r="F295" s="190" t="n"/>
      <c r="G295" s="189" t="inlineStr">
        <is>
          <t>2026-07-02</t>
        </is>
      </c>
      <c r="H295" s="189" t="inlineStr">
        <is>
          <t>—</t>
        </is>
      </c>
      <c r="I295" s="189" t="n"/>
      <c r="J295" s="190" t="inlineStr">
        <is>
          <t>Girish A</t>
        </is>
      </c>
      <c r="K295" s="190" t="n"/>
      <c r="L295" s="189" t="inlineStr">
        <is>
          <t>Online</t>
        </is>
      </c>
      <c r="M295" s="189" t="n"/>
      <c r="N295" s="190" t="inlineStr">
        <is>
          <t>NRI OJT</t>
        </is>
      </c>
      <c r="O295" s="190" t="n"/>
      <c r="P295" s="190" t="n"/>
      <c r="Q295" s="191" t="n">
        <v>2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July 2026</t>
        </is>
      </c>
      <c r="C296" s="190" t="inlineStr">
        <is>
          <t>Other</t>
        </is>
      </c>
      <c r="D296" s="190" t="n"/>
      <c r="E296" s="190" t="inlineStr">
        <is>
          <t>SOP meeting</t>
        </is>
      </c>
      <c r="F296" s="190" t="n"/>
      <c r="G296" s="189" t="inlineStr">
        <is>
          <t>2026-07-03</t>
        </is>
      </c>
      <c r="H296" s="189" t="inlineStr">
        <is>
          <t>—</t>
        </is>
      </c>
      <c r="I296" s="189" t="n"/>
      <c r="J296" s="190" t="inlineStr">
        <is>
          <t>Girish A</t>
        </is>
      </c>
      <c r="K296" s="190" t="n"/>
      <c r="L296" s="189" t="inlineStr">
        <is>
          <t>Online</t>
        </is>
      </c>
      <c r="M296" s="189" t="n"/>
      <c r="N296" s="190" t="inlineStr">
        <is>
          <t>SOP meeting</t>
        </is>
      </c>
      <c r="O296" s="190" t="n"/>
      <c r="P296" s="190" t="n"/>
      <c r="Q296" s="191" t="n">
        <v>1.5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Other</t>
        </is>
      </c>
      <c r="D297" s="190" t="n"/>
      <c r="E297" s="190" t="inlineStr">
        <is>
          <t>SOP meeting</t>
        </is>
      </c>
      <c r="F297" s="190" t="n"/>
      <c r="G297" s="189" t="inlineStr">
        <is>
          <t>2026-07-03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SOP meeting</t>
        </is>
      </c>
      <c r="O297" s="190" t="n"/>
      <c r="P297" s="190" t="n"/>
      <c r="Q297" s="191" t="n">
        <v>1.5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Other</t>
        </is>
      </c>
      <c r="D298" s="190" t="n"/>
      <c r="E298" s="190" t="inlineStr">
        <is>
          <t>SOP Preparation</t>
        </is>
      </c>
      <c r="F298" s="190" t="n"/>
      <c r="G298" s="189" t="inlineStr">
        <is>
          <t>2026-07-03</t>
        </is>
      </c>
      <c r="H298" s="189" t="inlineStr">
        <is>
          <t>—</t>
        </is>
      </c>
      <c r="I298" s="189" t="n"/>
      <c r="J298" s="190" t="inlineStr">
        <is>
          <t>Harish Bhat</t>
        </is>
      </c>
      <c r="K298" s="190" t="n"/>
      <c r="L298" s="189" t="inlineStr">
        <is>
          <t>Offline</t>
        </is>
      </c>
      <c r="M298" s="189" t="n"/>
      <c r="N298" s="190" t="inlineStr">
        <is>
          <t>SOP Preparation</t>
        </is>
      </c>
      <c r="O298" s="190" t="n"/>
      <c r="P298" s="190" t="n"/>
      <c r="Q298" s="191" t="n">
        <v>1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Other</t>
        </is>
      </c>
      <c r="D299" s="190" t="n"/>
      <c r="E299" s="190" t="inlineStr">
        <is>
          <t>Refresher training data segregation</t>
        </is>
      </c>
      <c r="F299" s="190" t="n"/>
      <c r="G299" s="189" t="inlineStr">
        <is>
          <t>2026-07-03</t>
        </is>
      </c>
      <c r="H299" s="189" t="inlineStr">
        <is>
          <t>—</t>
        </is>
      </c>
      <c r="I299" s="189" t="n"/>
      <c r="J299" s="190" t="inlineStr">
        <is>
          <t>Harish Bhat</t>
        </is>
      </c>
      <c r="K299" s="190" t="n"/>
      <c r="L299" s="189" t="inlineStr">
        <is>
          <t>Offline</t>
        </is>
      </c>
      <c r="M299" s="189" t="n"/>
      <c r="N299" s="190" t="inlineStr">
        <is>
          <t>Refresher training data segregation</t>
        </is>
      </c>
      <c r="O299" s="190" t="n"/>
      <c r="P299" s="190" t="n"/>
      <c r="Q299" s="191" t="n">
        <v>2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Assessment</t>
        </is>
      </c>
      <c r="D300" s="190" t="n"/>
      <c r="E300" s="190" t="inlineStr">
        <is>
          <t>Tickets team P&amp;S review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Harish Bhat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</t>
        </is>
      </c>
      <c r="O300" s="190" t="n"/>
      <c r="P300" s="190" t="n"/>
      <c r="Q300" s="191" t="n">
        <v>3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Discussion on refresher</t>
        </is>
      </c>
      <c r="F301" s="190" t="n"/>
      <c r="G301" s="189" t="inlineStr">
        <is>
          <t>2026-07-06</t>
        </is>
      </c>
      <c r="H301" s="189" t="inlineStr">
        <is>
          <t>—</t>
        </is>
      </c>
      <c r="I301" s="189" t="n"/>
      <c r="J301" s="190" t="inlineStr">
        <is>
          <t>Harish Bhat</t>
        </is>
      </c>
      <c r="K301" s="190" t="n"/>
      <c r="L301" s="189" t="inlineStr">
        <is>
          <t>Offline</t>
        </is>
      </c>
      <c r="M301" s="189" t="n"/>
      <c r="N301" s="190" t="inlineStr">
        <is>
          <t>Discussion on refresher</t>
        </is>
      </c>
      <c r="O301" s="190" t="n"/>
      <c r="P301" s="190" t="n"/>
      <c r="Q301" s="191" t="n">
        <v>2.5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Support Training</t>
        </is>
      </c>
      <c r="D302" s="190" t="n"/>
      <c r="E302" s="190" t="inlineStr">
        <is>
          <t>Ticket's team Tickets team communicate 360 training (mock ticket)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Harish Bhat</t>
        </is>
      </c>
      <c r="K302" s="190" t="n"/>
      <c r="L302" s="189" t="inlineStr">
        <is>
          <t>Offline</t>
        </is>
      </c>
      <c r="M302" s="189" t="n"/>
      <c r="N302" s="190" t="inlineStr">
        <is>
          <t>Ticket's team Tickets team communicate 360 training (mock ticket)</t>
        </is>
      </c>
      <c r="O302" s="190" t="n"/>
      <c r="P302" s="190" t="n"/>
      <c r="Q302" s="191" t="n">
        <v>2.5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Ticket's team Tickets team communicate 360 training (mock ticket)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Harish Bhat</t>
        </is>
      </c>
      <c r="K303" s="190" t="n"/>
      <c r="L303" s="189" t="inlineStr">
        <is>
          <t>Offline</t>
        </is>
      </c>
      <c r="M303" s="189" t="n"/>
      <c r="N303" s="190" t="inlineStr">
        <is>
          <t>Ticket's team Tickets team communicate 360 training (mock ticket)</t>
        </is>
      </c>
      <c r="O303" s="190" t="n"/>
      <c r="P303" s="190" t="n"/>
      <c r="Q303" s="191" t="n">
        <v>2.5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varsity tickets</t>
        </is>
      </c>
      <c r="F304" s="190" t="n"/>
      <c r="G304" s="189" t="inlineStr">
        <is>
          <t>2026-07-01</t>
        </is>
      </c>
      <c r="H304" s="189" t="inlineStr">
        <is>
          <t>—</t>
        </is>
      </c>
      <c r="I304" s="189" t="n"/>
      <c r="J304" s="190" t="inlineStr">
        <is>
          <t>Harish Bhat</t>
        </is>
      </c>
      <c r="K304" s="190" t="n"/>
      <c r="L304" s="189" t="inlineStr">
        <is>
          <t>Online</t>
        </is>
      </c>
      <c r="M304" s="189" t="n"/>
      <c r="N304" s="190" t="inlineStr">
        <is>
          <t>varsity tickets</t>
        </is>
      </c>
      <c r="O304" s="190" t="n"/>
      <c r="P304" s="190" t="n"/>
      <c r="Q304" s="191" t="n">
        <v>0.25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varsity tickets</t>
        </is>
      </c>
      <c r="F305" s="190" t="n"/>
      <c r="G305" s="189" t="inlineStr">
        <is>
          <t>2026-07-02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varsity tickets</t>
        </is>
      </c>
      <c r="O305" s="190" t="n"/>
      <c r="P305" s="190" t="n"/>
      <c r="Q305" s="191" t="n">
        <v>0.25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varsity tickets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varsity tickets</t>
        </is>
      </c>
      <c r="O306" s="190" t="n"/>
      <c r="P306" s="190" t="n"/>
      <c r="Q306" s="191" t="n">
        <v>0.25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Support Training</t>
        </is>
      </c>
      <c r="D307" s="190" t="n"/>
      <c r="E307" s="190" t="inlineStr">
        <is>
          <t>Drawing out training Need from the communicate 360 consolidated file</t>
        </is>
      </c>
      <c r="F307" s="190" t="n"/>
      <c r="G307" s="189" t="inlineStr">
        <is>
          <t>2026-07-16</t>
        </is>
      </c>
      <c r="H307" s="189" t="inlineStr">
        <is>
          <t>—</t>
        </is>
      </c>
      <c r="I307" s="189" t="n"/>
      <c r="J307" s="190" t="inlineStr">
        <is>
          <t>Freeda Reshma Dsouza</t>
        </is>
      </c>
      <c r="K307" s="190" t="n"/>
      <c r="L307" s="189" t="inlineStr">
        <is>
          <t>Online</t>
        </is>
      </c>
      <c r="M307" s="189" t="n"/>
      <c r="N307" s="190" t="inlineStr">
        <is>
          <t>TNI Prepartiion for Communicate 360</t>
        </is>
      </c>
      <c r="O307" s="190" t="n"/>
      <c r="P307" s="190" t="n"/>
      <c r="Q307" s="191" t="n">
        <v>3.5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Support Training</t>
        </is>
      </c>
      <c r="D308" s="190" t="n"/>
      <c r="E308" s="190" t="inlineStr">
        <is>
          <t>Drawing out training Need from the communicate 360 consolidated file</t>
        </is>
      </c>
      <c r="F308" s="190" t="n"/>
      <c r="G308" s="189" t="inlineStr">
        <is>
          <t>2026-07-17</t>
        </is>
      </c>
      <c r="H308" s="189" t="inlineStr">
        <is>
          <t>—</t>
        </is>
      </c>
      <c r="I308" s="189" t="n"/>
      <c r="J308" s="190" t="inlineStr">
        <is>
          <t>Freeda Reshma Dsouza</t>
        </is>
      </c>
      <c r="K308" s="190" t="n"/>
      <c r="L308" s="189" t="inlineStr">
        <is>
          <t>Online</t>
        </is>
      </c>
      <c r="M308" s="189" t="n"/>
      <c r="N308" s="190" t="inlineStr">
        <is>
          <t>TNI Prepartiion for Communicate 360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Candidates Interview</t>
        </is>
      </c>
      <c r="F309" s="190" t="n"/>
      <c r="G309" s="189" t="inlineStr">
        <is>
          <t>2026-07-23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Candidates Interview</t>
        </is>
      </c>
      <c r="O309" s="190" t="n"/>
      <c r="P309" s="190" t="n"/>
      <c r="Q309" s="191" t="n">
        <v>1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Interview - New Hire</t>
        </is>
      </c>
      <c r="F310" s="190" t="n"/>
      <c r="G310" s="189" t="inlineStr">
        <is>
          <t>2026-07-24</t>
        </is>
      </c>
      <c r="H310" s="189" t="inlineStr">
        <is>
          <t>—</t>
        </is>
      </c>
      <c r="I310" s="189" t="n"/>
      <c r="J310" s="190" t="inlineStr">
        <is>
          <t>Freeda Reshma Dsouza</t>
        </is>
      </c>
      <c r="K310" s="190" t="n"/>
      <c r="L310" s="189" t="inlineStr">
        <is>
          <t>Online</t>
        </is>
      </c>
      <c r="M310" s="189" t="n"/>
      <c r="N310" s="190" t="inlineStr">
        <is>
          <t>Interview</t>
        </is>
      </c>
      <c r="O310" s="190" t="n"/>
      <c r="P310" s="190" t="n"/>
      <c r="Q310" s="191" t="n">
        <v>1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Other</t>
        </is>
      </c>
      <c r="D311" s="190" t="n"/>
      <c r="E311" s="190" t="inlineStr">
        <is>
          <t>Candidates Interview</t>
        </is>
      </c>
      <c r="F311" s="190" t="n"/>
      <c r="G311" s="189" t="inlineStr">
        <is>
          <t>2026-07-22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Online</t>
        </is>
      </c>
      <c r="M311" s="189" t="n"/>
      <c r="N311" s="190" t="inlineStr">
        <is>
          <t>Candidates Interview</t>
        </is>
      </c>
      <c r="O311" s="190" t="n"/>
      <c r="P311" s="190" t="n"/>
      <c r="Q311" s="191" t="n">
        <v>1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Interview- New Hire</t>
        </is>
      </c>
      <c r="F312" s="190" t="n"/>
      <c r="G312" s="189" t="inlineStr">
        <is>
          <t>2026-07-24</t>
        </is>
      </c>
      <c r="H312" s="189" t="inlineStr">
        <is>
          <t>—</t>
        </is>
      </c>
      <c r="I312" s="189" t="n"/>
      <c r="J312" s="190" t="inlineStr">
        <is>
          <t>Freeda Reshma Dsouza</t>
        </is>
      </c>
      <c r="K312" s="190" t="n"/>
      <c r="L312" s="189" t="inlineStr">
        <is>
          <t>Online</t>
        </is>
      </c>
      <c r="M312" s="189" t="n"/>
      <c r="N312" s="190" t="inlineStr">
        <is>
          <t>Interview</t>
        </is>
      </c>
      <c r="O312" s="190" t="n"/>
      <c r="P312" s="190" t="n"/>
      <c r="Q312" s="191" t="n">
        <v>1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Support Training</t>
        </is>
      </c>
      <c r="D313" s="190" t="n"/>
      <c r="E313" s="190" t="inlineStr">
        <is>
          <t>Interview- New Hire</t>
        </is>
      </c>
      <c r="F313" s="190" t="n"/>
      <c r="G313" s="189" t="inlineStr">
        <is>
          <t>2026-07-23</t>
        </is>
      </c>
      <c r="H313" s="189" t="inlineStr">
        <is>
          <t>—</t>
        </is>
      </c>
      <c r="I313" s="189" t="n"/>
      <c r="J313" s="190" t="inlineStr">
        <is>
          <t>Freeda Reshma Dsouza</t>
        </is>
      </c>
      <c r="K313" s="190" t="n"/>
      <c r="L313" s="189" t="inlineStr">
        <is>
          <t>Online</t>
        </is>
      </c>
      <c r="M313" s="189" t="n"/>
      <c r="N313" s="190" t="inlineStr">
        <is>
          <t>Interview</t>
        </is>
      </c>
      <c r="O313" s="190" t="n"/>
      <c r="P313" s="190" t="n"/>
      <c r="Q313" s="191" t="n">
        <v>1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Candidates Interview</t>
        </is>
      </c>
      <c r="F314" s="190" t="n"/>
      <c r="G314" s="189" t="inlineStr">
        <is>
          <t>2026-07-21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Candidates Interview</t>
        </is>
      </c>
      <c r="O314" s="190" t="n"/>
      <c r="P314" s="190" t="n"/>
      <c r="Q314" s="191" t="n">
        <v>1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Interview- New Hire</t>
        </is>
      </c>
      <c r="F315" s="190" t="n"/>
      <c r="G315" s="189" t="inlineStr">
        <is>
          <t>2026-07-22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Interview</t>
        </is>
      </c>
      <c r="O315" s="190" t="n"/>
      <c r="P315" s="190" t="n"/>
      <c r="Q315" s="191" t="n">
        <v>1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Interview- New Hire</t>
        </is>
      </c>
      <c r="F316" s="190" t="n"/>
      <c r="G316" s="189" t="inlineStr">
        <is>
          <t>2026-07-20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Interview</t>
        </is>
      </c>
      <c r="O316" s="190" t="n"/>
      <c r="P316" s="190" t="n"/>
      <c r="Q316" s="191" t="n">
        <v>1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NRI Session planner discussion</t>
        </is>
      </c>
      <c r="F317" s="190" t="n"/>
      <c r="G317" s="189" t="inlineStr">
        <is>
          <t>2026-07-24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NRI Session planner discussion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QIP Manager meeting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QIP Manager meeting</t>
        </is>
      </c>
      <c r="O320" s="190" t="n"/>
      <c r="P320" s="190" t="n"/>
      <c r="Q320" s="191" t="n">
        <v>1.1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3L &amp; Closing auction settlement session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Harish Bhat</t>
        </is>
      </c>
      <c r="K321" s="190" t="n"/>
      <c r="L321" s="189" t="inlineStr">
        <is>
          <t>Online</t>
        </is>
      </c>
      <c r="M321" s="189" t="n"/>
      <c r="N321" s="190" t="inlineStr">
        <is>
          <t>3L &amp; Closing auction settlement session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3L &amp; Closing auction settlement session Preparation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Offline</t>
        </is>
      </c>
      <c r="M322" s="189" t="n"/>
      <c r="N322" s="190" t="inlineStr">
        <is>
          <t>3L &amp; Closing auction settlement session Preparation</t>
        </is>
      </c>
      <c r="O322" s="190" t="n"/>
      <c r="P322" s="190" t="n"/>
      <c r="Q322" s="191" t="n">
        <v>4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Varsity blog &amp; Post updates</t>
        </is>
      </c>
      <c r="F323" s="190" t="n"/>
      <c r="G323" s="189" t="inlineStr">
        <is>
          <t>2026-07-23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Varsity blog &amp; Post updates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Assessment</t>
        </is>
      </c>
      <c r="D324" s="190" t="n"/>
      <c r="E324" s="190" t="inlineStr">
        <is>
          <t>lms tool testing for public exams</t>
        </is>
      </c>
      <c r="F324" s="190" t="n"/>
      <c r="G324" s="189" t="inlineStr">
        <is>
          <t>2026-07-10</t>
        </is>
      </c>
      <c r="H324" s="189" t="inlineStr">
        <is>
          <t>—</t>
        </is>
      </c>
      <c r="I324" s="189" t="n"/>
      <c r="J324" s="190" t="inlineStr">
        <is>
          <t>Harish Bhat</t>
        </is>
      </c>
      <c r="K324" s="190" t="n"/>
      <c r="L324" s="189" t="inlineStr">
        <is>
          <t>Online</t>
        </is>
      </c>
      <c r="M324" s="189" t="n"/>
      <c r="N324" s="190" t="inlineStr">
        <is>
          <t>lms tool testing for public exams</t>
        </is>
      </c>
      <c r="O324" s="190" t="n"/>
      <c r="P324" s="190" t="n"/>
      <c r="Q324" s="191" t="n">
        <v>2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Assessment</t>
        </is>
      </c>
      <c r="D325" s="190" t="n"/>
      <c r="E325" s="190" t="inlineStr">
        <is>
          <t>lms tool testing for public exams</t>
        </is>
      </c>
      <c r="F325" s="190" t="n"/>
      <c r="G325" s="189" t="inlineStr">
        <is>
          <t>2026-07-13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lms tool testing for public exams</t>
        </is>
      </c>
      <c r="O325" s="190" t="n"/>
      <c r="P325" s="190" t="n"/>
      <c r="Q325" s="191" t="n">
        <v>3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AML &amp; unsolicited session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AML &amp; unsolicited session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Assessment</t>
        </is>
      </c>
      <c r="D327" s="190" t="n"/>
      <c r="E327" s="190" t="inlineStr">
        <is>
          <t>Monthly Test schedule</t>
        </is>
      </c>
      <c r="F327" s="190" t="n"/>
      <c r="G327" s="189" t="inlineStr">
        <is>
          <t>2026-07-21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Monthly Test schedule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Closing Auction settlement preperation</t>
        </is>
      </c>
      <c r="F328" s="190" t="n"/>
      <c r="G328" s="189" t="inlineStr">
        <is>
          <t>2026-07-17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Offline</t>
        </is>
      </c>
      <c r="M328" s="189" t="n"/>
      <c r="N328" s="190" t="inlineStr">
        <is>
          <t>Closing Auction settlement preperation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TNI Prepartiion for Communicate 360</t>
        </is>
      </c>
      <c r="F329" s="190" t="n"/>
      <c r="G329" s="189" t="inlineStr">
        <is>
          <t>2026-07-17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TNI Prepartiion for Communicate 360</t>
        </is>
      </c>
      <c r="O329" s="190" t="n"/>
      <c r="P329" s="190" t="n"/>
      <c r="Q329" s="191" t="n">
        <v>2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TNI Prepartiion for Communicate 360</t>
        </is>
      </c>
      <c r="F330" s="190" t="n"/>
      <c r="G330" s="189" t="inlineStr">
        <is>
          <t>2026-07-16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TNI Prepartiion for Communicate 360</t>
        </is>
      </c>
      <c r="O330" s="190" t="n"/>
      <c r="P330" s="190" t="n"/>
      <c r="Q330" s="191" t="n">
        <v>3.5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Assessment</t>
        </is>
      </c>
      <c r="D331" s="190" t="n"/>
      <c r="E331" s="190" t="inlineStr">
        <is>
          <t>Interview test conduct</t>
        </is>
      </c>
      <c r="F331" s="190" t="n"/>
      <c r="G331" s="189" t="inlineStr">
        <is>
          <t>2026-07-15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Interview test conduct</t>
        </is>
      </c>
      <c r="O331" s="190" t="n"/>
      <c r="P331" s="190" t="n"/>
      <c r="Q331" s="191" t="n">
        <v>2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Support Training</t>
        </is>
      </c>
      <c r="D332" s="190" t="n"/>
      <c r="E332" s="190" t="inlineStr">
        <is>
          <t>Interview question Paper preperation</t>
        </is>
      </c>
      <c r="F332" s="190" t="n"/>
      <c r="G332" s="189" t="inlineStr">
        <is>
          <t>2026-07-14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Interview question Paper preperation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Other</t>
        </is>
      </c>
      <c r="D333" s="190" t="n"/>
      <c r="E333" s="190" t="inlineStr">
        <is>
          <t>varsity tickets</t>
        </is>
      </c>
      <c r="F333" s="190" t="n"/>
      <c r="G333" s="189" t="inlineStr">
        <is>
          <t>2026-07-14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Offline</t>
        </is>
      </c>
      <c r="M333" s="189" t="n"/>
      <c r="N333" s="190" t="inlineStr">
        <is>
          <t>varsity tickets</t>
        </is>
      </c>
      <c r="O333" s="190" t="n"/>
      <c r="P333" s="190" t="n"/>
      <c r="Q333" s="191" t="n">
        <v>0.25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Other</t>
        </is>
      </c>
      <c r="D334" s="190" t="n"/>
      <c r="E334" s="190" t="inlineStr">
        <is>
          <t>varsity tickets</t>
        </is>
      </c>
      <c r="F334" s="190" t="n"/>
      <c r="G334" s="189" t="inlineStr">
        <is>
          <t>2026-07-15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Offline</t>
        </is>
      </c>
      <c r="M334" s="189" t="n"/>
      <c r="N334" s="190" t="inlineStr">
        <is>
          <t>varsity tickets</t>
        </is>
      </c>
      <c r="O334" s="190" t="n"/>
      <c r="P334" s="190" t="n"/>
      <c r="Q334" s="191" t="n">
        <v>0.25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Other</t>
        </is>
      </c>
      <c r="D335" s="190" t="n"/>
      <c r="E335" s="190" t="inlineStr">
        <is>
          <t>varsity tickets</t>
        </is>
      </c>
      <c r="F335" s="190" t="n"/>
      <c r="G335" s="189" t="inlineStr">
        <is>
          <t>2026-07-06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Offline</t>
        </is>
      </c>
      <c r="M335" s="189" t="n"/>
      <c r="N335" s="190" t="inlineStr">
        <is>
          <t>varsity tickets</t>
        </is>
      </c>
      <c r="O335" s="190" t="n"/>
      <c r="P335" s="190" t="n"/>
      <c r="Q335" s="191" t="n">
        <v>0.25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varsity tickets</t>
        </is>
      </c>
      <c r="F336" s="190" t="n"/>
      <c r="G336" s="189" t="inlineStr">
        <is>
          <t>2026-07-07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varsity tickets</t>
        </is>
      </c>
      <c r="O336" s="190" t="n"/>
      <c r="P336" s="190" t="n"/>
      <c r="Q336" s="191" t="n">
        <v>0.25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varsity tickets</t>
        </is>
      </c>
      <c r="F337" s="190" t="n"/>
      <c r="G337" s="189" t="inlineStr">
        <is>
          <t>2026-07-08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varsity tickets</t>
        </is>
      </c>
      <c r="O337" s="190" t="n"/>
      <c r="P337" s="190" t="n"/>
      <c r="Q337" s="191" t="n">
        <v>0.25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Other</t>
        </is>
      </c>
      <c r="D338" s="190" t="n"/>
      <c r="E338" s="190" t="inlineStr">
        <is>
          <t>varsity tickets</t>
        </is>
      </c>
      <c r="F338" s="190" t="n"/>
      <c r="G338" s="189" t="inlineStr">
        <is>
          <t>2026-07-09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Offline</t>
        </is>
      </c>
      <c r="M338" s="189" t="n"/>
      <c r="N338" s="190" t="inlineStr">
        <is>
          <t>varsity tickets</t>
        </is>
      </c>
      <c r="O338" s="190" t="n"/>
      <c r="P338" s="190" t="n"/>
      <c r="Q338" s="191" t="n">
        <v>0.25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Other</t>
        </is>
      </c>
      <c r="D339" s="190" t="n"/>
      <c r="E339" s="190" t="inlineStr">
        <is>
          <t>varsity tickets</t>
        </is>
      </c>
      <c r="F339" s="190" t="n"/>
      <c r="G339" s="189" t="inlineStr">
        <is>
          <t>2026-07-10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Offline</t>
        </is>
      </c>
      <c r="M339" s="189" t="n"/>
      <c r="N339" s="190" t="inlineStr">
        <is>
          <t>varsity tickets</t>
        </is>
      </c>
      <c r="O339" s="190" t="n"/>
      <c r="P339" s="190" t="n"/>
      <c r="Q339" s="191" t="n">
        <v>0.25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Other</t>
        </is>
      </c>
      <c r="D340" s="190" t="n"/>
      <c r="E340" s="190" t="inlineStr">
        <is>
          <t>varsity tickets</t>
        </is>
      </c>
      <c r="F340" s="190" t="n"/>
      <c r="G340" s="189" t="inlineStr">
        <is>
          <t>2026-07-13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Offline</t>
        </is>
      </c>
      <c r="M340" s="189" t="n"/>
      <c r="N340" s="190" t="inlineStr">
        <is>
          <t>varsity tickets</t>
        </is>
      </c>
      <c r="O340" s="190" t="n"/>
      <c r="P340" s="190" t="n"/>
      <c r="Q340" s="191" t="n">
        <v>0.25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2026-07-16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2026-07-17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2026-07-20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2026-07-21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2026-07-22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2026-07-23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2026-07-24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Support Training</t>
        </is>
      </c>
      <c r="D348" s="190" t="n"/>
      <c r="E348" s="190" t="inlineStr">
        <is>
          <t>Interview- New Hire</t>
        </is>
      </c>
      <c r="F348" s="190" t="n"/>
      <c r="G348" s="189" t="inlineStr">
        <is>
          <t>2026-07-27</t>
        </is>
      </c>
      <c r="H348" s="189" t="inlineStr">
        <is>
          <t>—</t>
        </is>
      </c>
      <c r="I348" s="189" t="n"/>
      <c r="J348" s="190" t="inlineStr">
        <is>
          <t>Freeda Reshma Dsouza</t>
        </is>
      </c>
      <c r="K348" s="190" t="n"/>
      <c r="L348" s="189" t="inlineStr">
        <is>
          <t>Online</t>
        </is>
      </c>
      <c r="M348" s="189" t="n"/>
      <c r="N348" s="190" t="inlineStr">
        <is>
          <t>Interview</t>
        </is>
      </c>
      <c r="O348" s="190" t="n"/>
      <c r="P348" s="190" t="n"/>
      <c r="Q348" s="191" t="n">
        <v>1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NRI session planner</t>
        </is>
      </c>
      <c r="F349" s="190" t="n"/>
      <c r="G349" s="189" t="inlineStr">
        <is>
          <t>2026-07-24</t>
        </is>
      </c>
      <c r="H349" s="189" t="inlineStr">
        <is>
          <t>—</t>
        </is>
      </c>
      <c r="I349" s="189" t="n"/>
      <c r="J349" s="190" t="inlineStr">
        <is>
          <t>Girish A</t>
        </is>
      </c>
      <c r="K349" s="190" t="n"/>
      <c r="L349" s="189" t="inlineStr">
        <is>
          <t>Online</t>
        </is>
      </c>
      <c r="M349" s="189" t="n"/>
      <c r="N349" s="190" t="inlineStr">
        <is>
          <t>NRI session planner</t>
        </is>
      </c>
      <c r="O349" s="190" t="n"/>
      <c r="P349" s="190" t="n"/>
      <c r="Q349" s="191" t="n">
        <v>1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QIP Manager Meeting</t>
        </is>
      </c>
      <c r="F350" s="190" t="n"/>
      <c r="G350" s="189" t="inlineStr">
        <is>
          <t>2026-07-24</t>
        </is>
      </c>
      <c r="H350" s="189" t="inlineStr">
        <is>
          <t>—</t>
        </is>
      </c>
      <c r="I350" s="189" t="n"/>
      <c r="J350" s="190" t="inlineStr">
        <is>
          <t>Girish A</t>
        </is>
      </c>
      <c r="K350" s="190" t="n"/>
      <c r="L350" s="189" t="inlineStr">
        <is>
          <t>Online</t>
        </is>
      </c>
      <c r="M350" s="189" t="n"/>
      <c r="N350" s="190" t="inlineStr">
        <is>
          <t>QIP Manager Meeting</t>
        </is>
      </c>
      <c r="O350" s="190" t="n"/>
      <c r="P350" s="190" t="n"/>
      <c r="Q350" s="191" t="n">
        <v>1.1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Support Training</t>
        </is>
      </c>
      <c r="D351" s="190" t="n"/>
      <c r="E351" s="190" t="inlineStr">
        <is>
          <t>AML &amp; unsolicited Session</t>
        </is>
      </c>
      <c r="F351" s="190" t="n"/>
      <c r="G351" s="189" t="inlineStr">
        <is>
          <t>2026-07-24</t>
        </is>
      </c>
      <c r="H351" s="189" t="inlineStr">
        <is>
          <t>—</t>
        </is>
      </c>
      <c r="I351" s="189" t="n"/>
      <c r="J351" s="190" t="inlineStr">
        <is>
          <t>Girish A</t>
        </is>
      </c>
      <c r="K351" s="190" t="n"/>
      <c r="L351" s="189" t="inlineStr">
        <is>
          <t>Online</t>
        </is>
      </c>
      <c r="M351" s="189" t="n"/>
      <c r="N351" s="190" t="inlineStr">
        <is>
          <t>AML &amp; unsolicited Session</t>
        </is>
      </c>
      <c r="O351" s="190" t="n"/>
      <c r="P351" s="190" t="n"/>
      <c r="Q351" s="191" t="n">
        <v>1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Support Training</t>
        </is>
      </c>
      <c r="D352" s="190" t="n"/>
      <c r="E352" s="190" t="inlineStr">
        <is>
          <t>Interview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Girish A</t>
        </is>
      </c>
      <c r="K352" s="190" t="n"/>
      <c r="L352" s="189" t="inlineStr">
        <is>
          <t>Online</t>
        </is>
      </c>
      <c r="M352" s="189" t="n"/>
      <c r="N352" s="190" t="inlineStr">
        <is>
          <t>Interview</t>
        </is>
      </c>
      <c r="O352" s="190" t="n"/>
      <c r="P352" s="190" t="n"/>
      <c r="Q352" s="191" t="n">
        <v>1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Support Training</t>
        </is>
      </c>
      <c r="D353" s="190" t="n"/>
      <c r="E353" s="190" t="inlineStr">
        <is>
          <t>Interview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Girish A</t>
        </is>
      </c>
      <c r="K353" s="190" t="n"/>
      <c r="L353" s="189" t="inlineStr">
        <is>
          <t>Online</t>
        </is>
      </c>
      <c r="M353" s="189" t="n"/>
      <c r="N353" s="190" t="inlineStr">
        <is>
          <t>Interview</t>
        </is>
      </c>
      <c r="O353" s="190" t="n"/>
      <c r="P353" s="190" t="n"/>
      <c r="Q353" s="191" t="n">
        <v>1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Support Training</t>
        </is>
      </c>
      <c r="D354" s="190" t="n"/>
      <c r="E354" s="190" t="inlineStr">
        <is>
          <t>Interview</t>
        </is>
      </c>
      <c r="F354" s="190" t="n"/>
      <c r="G354" s="189" t="inlineStr">
        <is>
          <t>2026-07-24</t>
        </is>
      </c>
      <c r="H354" s="189" t="inlineStr">
        <is>
          <t>—</t>
        </is>
      </c>
      <c r="I354" s="189" t="n"/>
      <c r="J354" s="190" t="inlineStr">
        <is>
          <t>Girish A</t>
        </is>
      </c>
      <c r="K354" s="190" t="n"/>
      <c r="L354" s="189" t="inlineStr">
        <is>
          <t>Online</t>
        </is>
      </c>
      <c r="M354" s="189" t="n"/>
      <c r="N354" s="190" t="inlineStr">
        <is>
          <t>Interview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Assessment</t>
        </is>
      </c>
      <c r="D355" s="190" t="n"/>
      <c r="E355" s="190" t="inlineStr">
        <is>
          <t>Interview Test Conduct</t>
        </is>
      </c>
      <c r="F355" s="190" t="n"/>
      <c r="G355" s="189" t="inlineStr">
        <is>
          <t>2026-07-15</t>
        </is>
      </c>
      <c r="H355" s="189" t="inlineStr">
        <is>
          <t>—</t>
        </is>
      </c>
      <c r="I355" s="189" t="n"/>
      <c r="J355" s="190" t="inlineStr">
        <is>
          <t>Girish A</t>
        </is>
      </c>
      <c r="K355" s="190" t="n"/>
      <c r="L355" s="189" t="inlineStr">
        <is>
          <t>Online</t>
        </is>
      </c>
      <c r="M355" s="189" t="n"/>
      <c r="N355" s="190" t="inlineStr">
        <is>
          <t>Interview Test Conduct</t>
        </is>
      </c>
      <c r="O355" s="190" t="n"/>
      <c r="P355" s="190" t="n"/>
      <c r="Q355" s="191" t="n">
        <v>2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Closing auction settlement session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Online</t>
        </is>
      </c>
      <c r="M356" s="189" t="n"/>
      <c r="N356" s="190" t="inlineStr">
        <is>
          <t>Closing auction settlement session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Candidates Interview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Harish Bhat</t>
        </is>
      </c>
      <c r="K357" s="190" t="n"/>
      <c r="L357" s="189" t="inlineStr">
        <is>
          <t>Online</t>
        </is>
      </c>
      <c r="M357" s="189" t="n"/>
      <c r="N357" s="190" t="inlineStr">
        <is>
          <t>Candidates 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Assessment</t>
        </is>
      </c>
      <c r="D358" s="190" t="n"/>
      <c r="E358" s="190" t="inlineStr">
        <is>
          <t>CAS test</t>
        </is>
      </c>
      <c r="F358" s="190" t="n"/>
      <c r="G358" s="189" t="inlineStr">
        <is>
          <t>2026-07-28</t>
        </is>
      </c>
      <c r="H358" s="189" t="inlineStr">
        <is>
          <t>—</t>
        </is>
      </c>
      <c r="I358" s="189" t="n"/>
      <c r="J358" s="190" t="inlineStr">
        <is>
          <t>Harish Bhat</t>
        </is>
      </c>
      <c r="K358" s="190" t="n"/>
      <c r="L358" s="189" t="inlineStr">
        <is>
          <t>Online</t>
        </is>
      </c>
      <c r="M358" s="189" t="n"/>
      <c r="N358" s="190" t="inlineStr">
        <is>
          <t>CAS test</t>
        </is>
      </c>
      <c r="O358" s="190" t="n"/>
      <c r="P358" s="190" t="n"/>
      <c r="Q358" s="191" t="n">
        <v>0.5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varsity tickets</t>
        </is>
      </c>
      <c r="F359" s="190" t="n"/>
      <c r="G359" s="189" t="inlineStr">
        <is>
          <t>2026-07-27</t>
        </is>
      </c>
      <c r="H359" s="189" t="inlineStr">
        <is>
          <t>—</t>
        </is>
      </c>
      <c r="I359" s="189" t="n"/>
      <c r="J359" s="190" t="inlineStr">
        <is>
          <t>Harish Bhat</t>
        </is>
      </c>
      <c r="K359" s="190" t="n"/>
      <c r="L359" s="189" t="inlineStr">
        <is>
          <t>Online</t>
        </is>
      </c>
      <c r="M359" s="189" t="n"/>
      <c r="N359" s="190" t="inlineStr">
        <is>
          <t>varsity tickets</t>
        </is>
      </c>
      <c r="O359" s="190" t="n"/>
      <c r="P359" s="190" t="n"/>
      <c r="Q359" s="191" t="n">
        <v>0.25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Other</t>
        </is>
      </c>
      <c r="D360" s="190" t="n"/>
      <c r="E360" s="190" t="inlineStr">
        <is>
          <t>varsity tickets</t>
        </is>
      </c>
      <c r="F360" s="190" t="n"/>
      <c r="G360" s="189" t="inlineStr">
        <is>
          <t>2026-07-28</t>
        </is>
      </c>
      <c r="H360" s="189" t="inlineStr">
        <is>
          <t>—</t>
        </is>
      </c>
      <c r="I360" s="189" t="n"/>
      <c r="J360" s="190" t="inlineStr">
        <is>
          <t>Harish Bhat</t>
        </is>
      </c>
      <c r="K360" s="190" t="n"/>
      <c r="L360" s="189" t="inlineStr">
        <is>
          <t>Online</t>
        </is>
      </c>
      <c r="M360" s="189" t="n"/>
      <c r="N360" s="190" t="inlineStr">
        <is>
          <t>varsity tickets</t>
        </is>
      </c>
      <c r="O360" s="190" t="n"/>
      <c r="P360" s="190" t="n"/>
      <c r="Q360" s="191" t="n">
        <v>0.25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Other</t>
        </is>
      </c>
      <c r="D361" s="190" t="n"/>
      <c r="E361" s="190" t="inlineStr">
        <is>
          <t>varsity tickets</t>
        </is>
      </c>
      <c r="F361" s="190" t="n"/>
      <c r="G361" s="189" t="inlineStr">
        <is>
          <t>2026-07-29</t>
        </is>
      </c>
      <c r="H361" s="189" t="inlineStr">
        <is>
          <t>—</t>
        </is>
      </c>
      <c r="I361" s="189" t="n"/>
      <c r="J361" s="190" t="inlineStr">
        <is>
          <t>Harish Bhat</t>
        </is>
      </c>
      <c r="K361" s="190" t="n"/>
      <c r="L361" s="189" t="inlineStr">
        <is>
          <t>Online</t>
        </is>
      </c>
      <c r="M361" s="189" t="n"/>
      <c r="N361" s="190" t="inlineStr">
        <is>
          <t>varsity tickets</t>
        </is>
      </c>
      <c r="O361" s="190" t="n"/>
      <c r="P361" s="190" t="n"/>
      <c r="Q361" s="191" t="n">
        <v>0.25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Other</t>
        </is>
      </c>
      <c r="D362" s="190" t="n"/>
      <c r="E362" s="190" t="inlineStr">
        <is>
          <t>varsity tickets</t>
        </is>
      </c>
      <c r="F362" s="190" t="n"/>
      <c r="G362" s="189" t="inlineStr">
        <is>
          <t>2026-07-31</t>
        </is>
      </c>
      <c r="H362" s="189" t="inlineStr">
        <is>
          <t>—</t>
        </is>
      </c>
      <c r="I362" s="189" t="n"/>
      <c r="J362" s="190" t="inlineStr">
        <is>
          <t>Harish Bhat</t>
        </is>
      </c>
      <c r="K362" s="190" t="n"/>
      <c r="L362" s="189" t="inlineStr">
        <is>
          <t>Online</t>
        </is>
      </c>
      <c r="M362" s="189" t="n"/>
      <c r="N362" s="190" t="inlineStr">
        <is>
          <t>varsity tickets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Other</t>
        </is>
      </c>
      <c r="D363" s="190" t="n"/>
      <c r="E363" s="190" t="inlineStr">
        <is>
          <t>Knowledge reinforcement session Preperation</t>
        </is>
      </c>
      <c r="F363" s="190" t="n"/>
      <c r="G363" s="189" t="inlineStr">
        <is>
          <t>2026-07-28</t>
        </is>
      </c>
      <c r="H363" s="189" t="inlineStr">
        <is>
          <t>—</t>
        </is>
      </c>
      <c r="I363" s="189" t="n"/>
      <c r="J363" s="190" t="inlineStr">
        <is>
          <t>Harish Bhat</t>
        </is>
      </c>
      <c r="K363" s="190" t="n"/>
      <c r="L363" s="189" t="inlineStr">
        <is>
          <t>Online</t>
        </is>
      </c>
      <c r="M363" s="189" t="n"/>
      <c r="N363" s="190" t="inlineStr">
        <is>
          <t>Knowledge reinforcement session Preperation</t>
        </is>
      </c>
      <c r="O363" s="190" t="n"/>
      <c r="P363" s="190" t="n"/>
      <c r="Q363" s="191" t="n">
        <v>6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Knowledge reinforcement session - Short delivery</t>
        </is>
      </c>
      <c r="F364" s="190" t="n"/>
      <c r="G364" s="189" t="inlineStr">
        <is>
          <t>2026-07-29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Knowledge reinforcement session - Short delivery</t>
        </is>
      </c>
      <c r="O364" s="190" t="n"/>
      <c r="P364" s="190" t="n"/>
      <c r="Q364" s="191" t="n">
        <v>1.5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Knowledge reinforcement session - Short delivery</t>
        </is>
      </c>
      <c r="F365" s="190" t="n"/>
      <c r="G365" s="189" t="inlineStr">
        <is>
          <t>2026-07-29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Knowledge reinforcement session - Short delivery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Knowledge reinforcement session - Short delivery</t>
        </is>
      </c>
      <c r="F366" s="190" t="n"/>
      <c r="G366" s="189" t="inlineStr">
        <is>
          <t>2026-07-30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Knowledge reinforcement session - Short delivery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Support Training</t>
        </is>
      </c>
      <c r="D367" s="190" t="n"/>
      <c r="E367" s="190" t="inlineStr">
        <is>
          <t>Knowledge reinforcement session - Short delivery</t>
        </is>
      </c>
      <c r="F367" s="190" t="n"/>
      <c r="G367" s="189" t="inlineStr">
        <is>
          <t>2026-07-30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Knowledge reinforcement session - Short delivery</t>
        </is>
      </c>
      <c r="O367" s="190" t="n"/>
      <c r="P367" s="190" t="n"/>
      <c r="Q367" s="191" t="n">
        <v>1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Support Training</t>
        </is>
      </c>
      <c r="D368" s="190" t="n"/>
      <c r="E368" s="190" t="inlineStr">
        <is>
          <t>Knowledge reinforcement session - MTF</t>
        </is>
      </c>
      <c r="F368" s="190" t="n"/>
      <c r="G368" s="189" t="inlineStr">
        <is>
          <t>2026-07-30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Knowledge reinforcement session - MTF</t>
        </is>
      </c>
      <c r="O368" s="190" t="n"/>
      <c r="P368" s="190" t="n"/>
      <c r="Q368" s="191" t="n">
        <v>1.5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2026-07-30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Support Training</t>
        </is>
      </c>
      <c r="D370" s="190" t="n"/>
      <c r="E370" s="190" t="inlineStr">
        <is>
          <t>Knowledge reinforcement session - MTF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Knowledge reinforcement session - MTF</t>
        </is>
      </c>
      <c r="O370" s="190" t="n"/>
      <c r="P370" s="190" t="n"/>
      <c r="Q370" s="191" t="n">
        <v>1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Support Training</t>
        </is>
      </c>
      <c r="D371" s="190" t="n"/>
      <c r="E371" s="190" t="inlineStr">
        <is>
          <t>Knowledge reinforcement session - MTF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- MTF</t>
        </is>
      </c>
      <c r="O371" s="190" t="n"/>
      <c r="P371" s="190" t="n"/>
      <c r="Q371" s="191" t="n">
        <v>1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MTF</t>
        </is>
      </c>
      <c r="F372" s="190" t="n"/>
      <c r="G372" s="189" t="inlineStr">
        <is>
          <t>2026-07-31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MTF</t>
        </is>
      </c>
      <c r="O372" s="190" t="n"/>
      <c r="P372" s="190" t="n"/>
      <c r="Q372" s="191" t="n">
        <v>1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Other</t>
        </is>
      </c>
      <c r="D373" s="190" t="n"/>
      <c r="E373" s="190" t="inlineStr">
        <is>
          <t>QSB training data Preparation</t>
        </is>
      </c>
      <c r="F373" s="190" t="n"/>
      <c r="G373" s="189" t="inlineStr">
        <is>
          <t>2026-07-14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QSB training data Preparation</t>
        </is>
      </c>
      <c r="O373" s="190" t="n"/>
      <c r="P373" s="190" t="n"/>
      <c r="Q373" s="191" t="n">
        <v>4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Other</t>
        </is>
      </c>
      <c r="D374" s="190" t="n"/>
      <c r="E374" s="190" t="inlineStr">
        <is>
          <t>NRI OJT</t>
        </is>
      </c>
      <c r="F374" s="190" t="n"/>
      <c r="G374" s="189" t="inlineStr">
        <is>
          <t>2026-07-03</t>
        </is>
      </c>
      <c r="H374" s="189" t="inlineStr">
        <is>
          <t>—</t>
        </is>
      </c>
      <c r="I374" s="189" t="n"/>
      <c r="J374" s="190" t="inlineStr">
        <is>
          <t>Girish A</t>
        </is>
      </c>
      <c r="K374" s="190" t="n"/>
      <c r="L374" s="189" t="inlineStr">
        <is>
          <t>Online</t>
        </is>
      </c>
      <c r="M374" s="189" t="n"/>
      <c r="N374" s="190" t="inlineStr">
        <is>
          <t>NRI OJT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Other</t>
        </is>
      </c>
      <c r="D375" s="190" t="n"/>
      <c r="E375" s="190" t="inlineStr">
        <is>
          <t>NRI OJT</t>
        </is>
      </c>
      <c r="F375" s="190" t="n"/>
      <c r="G375" s="189" t="inlineStr">
        <is>
          <t>2026-07-06</t>
        </is>
      </c>
      <c r="H375" s="189" t="inlineStr">
        <is>
          <t>—</t>
        </is>
      </c>
      <c r="I375" s="189" t="n"/>
      <c r="J375" s="190" t="inlineStr">
        <is>
          <t>Girish A</t>
        </is>
      </c>
      <c r="K375" s="190" t="n"/>
      <c r="L375" s="189" t="inlineStr">
        <is>
          <t>Online</t>
        </is>
      </c>
      <c r="M375" s="189" t="n"/>
      <c r="N375" s="190" t="inlineStr">
        <is>
          <t>NRI OJT</t>
        </is>
      </c>
      <c r="O375" s="190" t="n"/>
      <c r="P375" s="190" t="n"/>
      <c r="Q375" s="191" t="n">
        <v>1.5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Other</t>
        </is>
      </c>
      <c r="D376" s="190" t="n"/>
      <c r="E376" s="190" t="inlineStr">
        <is>
          <t>Closing Auction Settlement preperation</t>
        </is>
      </c>
      <c r="F376" s="190" t="n"/>
      <c r="G376" s="189" t="inlineStr">
        <is>
          <t>2026-07-17</t>
        </is>
      </c>
      <c r="H376" s="189" t="inlineStr">
        <is>
          <t>—</t>
        </is>
      </c>
      <c r="I376" s="189" t="n"/>
      <c r="J376" s="190" t="inlineStr">
        <is>
          <t>Girish A</t>
        </is>
      </c>
      <c r="K376" s="190" t="n"/>
      <c r="L376" s="189" t="inlineStr">
        <is>
          <t>Online</t>
        </is>
      </c>
      <c r="M376" s="189" t="n"/>
      <c r="N376" s="190" t="inlineStr">
        <is>
          <t>Closing Auction Settlement preperation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Short delivery</t>
        </is>
      </c>
      <c r="F377" s="190" t="n"/>
      <c r="G377" s="189" t="inlineStr">
        <is>
          <t>2026-07-29</t>
        </is>
      </c>
      <c r="H377" s="189" t="inlineStr">
        <is>
          <t>—</t>
        </is>
      </c>
      <c r="I377" s="189" t="n"/>
      <c r="J377" s="190" t="inlineStr">
        <is>
          <t>Girish A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Short delivery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Knowledge reinforcement session preperation</t>
        </is>
      </c>
      <c r="F378" s="190" t="n"/>
      <c r="G378" s="189" t="inlineStr">
        <is>
          <t>2026-07-28</t>
        </is>
      </c>
      <c r="H378" s="189" t="inlineStr">
        <is>
          <t>—</t>
        </is>
      </c>
      <c r="I378" s="189" t="n"/>
      <c r="J378" s="190" t="inlineStr">
        <is>
          <t>Girish A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preperation</t>
        </is>
      </c>
      <c r="O378" s="190" t="n"/>
      <c r="P378" s="190" t="n"/>
      <c r="Q378" s="191" t="n">
        <v>6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Short delivery</t>
        </is>
      </c>
      <c r="F379" s="190" t="n"/>
      <c r="G379" s="189" t="inlineStr">
        <is>
          <t>2026-07-30</t>
        </is>
      </c>
      <c r="H379" s="189" t="inlineStr">
        <is>
          <t>—</t>
        </is>
      </c>
      <c r="I379" s="189" t="n"/>
      <c r="J379" s="190" t="inlineStr">
        <is>
          <t>Girish A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Short delivery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2026-07-30</t>
        </is>
      </c>
      <c r="H380" s="189" t="inlineStr">
        <is>
          <t>—</t>
        </is>
      </c>
      <c r="I380" s="189" t="n"/>
      <c r="J380" s="190" t="inlineStr">
        <is>
          <t>Girish A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1.5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Girish A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Support Training</t>
        </is>
      </c>
      <c r="D382" s="190" t="n"/>
      <c r="E382" s="190" t="inlineStr">
        <is>
          <t>Knowledge reinforcement session - MTF</t>
        </is>
      </c>
      <c r="F382" s="190" t="n"/>
      <c r="G382" s="189" t="inlineStr">
        <is>
          <t>2026-07-31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Knowledge reinforcement session - MTF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session planner</t>
        </is>
      </c>
      <c r="F383" s="190" t="n"/>
      <c r="G383" s="189" t="inlineStr">
        <is>
          <t>2026-07-16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session planner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Support Session planner</t>
        </is>
      </c>
      <c r="F384" s="190" t="n"/>
      <c r="G384" s="189" t="inlineStr">
        <is>
          <t>2026-07-22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Support Session planner</t>
        </is>
      </c>
      <c r="O384" s="190" t="n"/>
      <c r="P384" s="190" t="n"/>
      <c r="Q384" s="191" t="n">
        <v>2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OQD</t>
        </is>
      </c>
      <c r="F386" s="190" t="n"/>
      <c r="G386" s="189" t="inlineStr">
        <is>
          <t>2026-07-01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OQD</t>
        </is>
      </c>
      <c r="O386" s="190" t="n"/>
      <c r="P386" s="190" t="n"/>
      <c r="Q386" s="191" t="n">
        <v>1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qod</t>
        </is>
      </c>
      <c r="F387" s="190" t="n"/>
      <c r="G387" s="189" t="inlineStr">
        <is>
          <t>2026-07-07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qod</t>
        </is>
      </c>
      <c r="O387" s="190" t="n"/>
      <c r="P387" s="190" t="n"/>
      <c r="Q387" s="191" t="n">
        <v>2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Other</t>
        </is>
      </c>
      <c r="D388" s="190" t="n"/>
      <c r="E388" s="190" t="inlineStr">
        <is>
          <t>QOD</t>
        </is>
      </c>
      <c r="F388" s="190" t="n"/>
      <c r="G388" s="189" t="inlineStr">
        <is>
          <t>2026-07-14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QOD</t>
        </is>
      </c>
      <c r="O388" s="190" t="n"/>
      <c r="P388" s="190" t="n"/>
      <c r="Q388" s="191" t="n">
        <v>2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Other</t>
        </is>
      </c>
      <c r="D389" s="190" t="n"/>
      <c r="E389" s="190" t="inlineStr">
        <is>
          <t>NRI session planner</t>
        </is>
      </c>
      <c r="F389" s="190" t="n"/>
      <c r="G389" s="189" t="inlineStr">
        <is>
          <t>2026-07-14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NRI session planner</t>
        </is>
      </c>
      <c r="O389" s="190" t="n"/>
      <c r="P389" s="190" t="n"/>
      <c r="Q389" s="191" t="n">
        <v>2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Other</t>
        </is>
      </c>
      <c r="D390" s="190" t="n"/>
      <c r="E390" s="190" t="inlineStr">
        <is>
          <t>QOD</t>
        </is>
      </c>
      <c r="F390" s="190" t="n"/>
      <c r="G390" s="189" t="inlineStr">
        <is>
          <t>2026-07-21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QOD</t>
        </is>
      </c>
      <c r="O390" s="190" t="n"/>
      <c r="P390" s="190" t="n"/>
      <c r="Q390" s="191" t="n">
        <v>2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QOD</t>
        </is>
      </c>
      <c r="F391" s="190" t="n"/>
      <c r="G391" s="189" t="inlineStr">
        <is>
          <t>2026-07-28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QOD</t>
        </is>
      </c>
      <c r="O391" s="190" t="n"/>
      <c r="P391" s="190" t="n"/>
      <c r="Q391" s="191" t="n">
        <v>2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QOD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QOD</t>
        </is>
      </c>
      <c r="O392" s="190" t="n"/>
      <c r="P392" s="190" t="n"/>
      <c r="Q392" s="191" t="n">
        <v>0.3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QOD</t>
        </is>
      </c>
      <c r="F393" s="190" t="n"/>
      <c r="G393" s="189" t="inlineStr">
        <is>
          <t>2026-07-15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QOD</t>
        </is>
      </c>
      <c r="O393" s="190" t="n"/>
      <c r="P393" s="190" t="n"/>
      <c r="Q393" s="191" t="n">
        <v>0.3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QOD</t>
        </is>
      </c>
      <c r="F394" s="190" t="n"/>
      <c r="G394" s="189" t="inlineStr">
        <is>
          <t>2026-07-08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QOD</t>
        </is>
      </c>
      <c r="O394" s="190" t="n"/>
      <c r="P394" s="190" t="n"/>
      <c r="Q394" s="191" t="n">
        <v>0.3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2026-07-29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0.3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Assessment</t>
        </is>
      </c>
      <c r="D396" s="190" t="n"/>
      <c r="E396" s="190" t="inlineStr">
        <is>
          <t>LMS tool testing</t>
        </is>
      </c>
      <c r="F396" s="190" t="n"/>
      <c r="G396" s="189" t="inlineStr">
        <is>
          <t>2026-07-21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LMS tool testing</t>
        </is>
      </c>
      <c r="O396" s="190" t="n"/>
      <c r="P396" s="190" t="n"/>
      <c r="Q396" s="191" t="n">
        <v>1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SOP meeting</t>
        </is>
      </c>
      <c r="F397" s="190" t="n"/>
      <c r="G397" s="189" t="inlineStr">
        <is>
          <t>2026-07-03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SOP meeting</t>
        </is>
      </c>
      <c r="O397" s="190" t="n"/>
      <c r="P397" s="190" t="n"/>
      <c r="Q397" s="191" t="n">
        <v>1.5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QSB training data Preparation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QSB training data Preparation</t>
        </is>
      </c>
      <c r="O398" s="190" t="n"/>
      <c r="P398" s="190" t="n"/>
      <c r="Q398" s="191" t="n">
        <v>3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August 2026</t>
        </is>
      </c>
      <c r="C399" s="190" t="inlineStr">
        <is>
          <t>Support Training</t>
        </is>
      </c>
      <c r="D399" s="190" t="n"/>
      <c r="E399" s="190" t="inlineStr">
        <is>
          <t>Behavioral Training Material</t>
        </is>
      </c>
      <c r="F399" s="190" t="n"/>
      <c r="G399" s="189" t="inlineStr">
        <is>
          <t>2026-08-11</t>
        </is>
      </c>
      <c r="H399" s="189" t="inlineStr">
        <is>
          <t>—</t>
        </is>
      </c>
      <c r="I399" s="189" t="n"/>
      <c r="J399" s="190" t="inlineStr">
        <is>
          <t>Freeda Reshma Dsouza</t>
        </is>
      </c>
      <c r="K399" s="190" t="n"/>
      <c r="L399" s="189" t="inlineStr">
        <is>
          <t>Offline</t>
        </is>
      </c>
      <c r="M399" s="189" t="n"/>
      <c r="N399" s="190" t="inlineStr">
        <is>
          <t>Behavioral Training Material</t>
        </is>
      </c>
      <c r="O399" s="190" t="n"/>
      <c r="P399" s="190" t="n"/>
      <c r="Q399" s="191" t="n">
        <v>2.5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August 2026</t>
        </is>
      </c>
      <c r="C400" s="190" t="inlineStr">
        <is>
          <t>Support Training</t>
        </is>
      </c>
      <c r="D400" s="190" t="n"/>
      <c r="E400" s="190" t="inlineStr">
        <is>
          <t>Behavioral Training Material</t>
        </is>
      </c>
      <c r="F400" s="190" t="n"/>
      <c r="G400" s="189" t="inlineStr">
        <is>
          <t>2026-08-12</t>
        </is>
      </c>
      <c r="H400" s="189" t="inlineStr">
        <is>
          <t>—</t>
        </is>
      </c>
      <c r="I400" s="189" t="n"/>
      <c r="J400" s="190" t="inlineStr">
        <is>
          <t>Freeda Reshma Dsouza</t>
        </is>
      </c>
      <c r="K400" s="190" t="n"/>
      <c r="L400" s="189" t="inlineStr">
        <is>
          <t>Offline</t>
        </is>
      </c>
      <c r="M400" s="189" t="n"/>
      <c r="N400" s="190" t="inlineStr">
        <is>
          <t>Behavioral Training Material</t>
        </is>
      </c>
      <c r="O400" s="190" t="n"/>
      <c r="P400" s="190" t="n"/>
      <c r="Q400" s="191" t="n">
        <v>3.5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August 2026</t>
        </is>
      </c>
      <c r="C401" s="190" t="inlineStr">
        <is>
          <t>Support Training</t>
        </is>
      </c>
      <c r="D401" s="190" t="n"/>
      <c r="E401" s="190" t="inlineStr">
        <is>
          <t>Behavioral Training Material</t>
        </is>
      </c>
      <c r="F401" s="190" t="n"/>
      <c r="G401" s="189" t="inlineStr">
        <is>
          <t>2026-08-13</t>
        </is>
      </c>
      <c r="H401" s="189" t="inlineStr">
        <is>
          <t>—</t>
        </is>
      </c>
      <c r="I401" s="189" t="n"/>
      <c r="J401" s="190" t="inlineStr">
        <is>
          <t>Freeda Reshma Dsouza</t>
        </is>
      </c>
      <c r="K401" s="190" t="n"/>
      <c r="L401" s="189" t="inlineStr">
        <is>
          <t>Offline</t>
        </is>
      </c>
      <c r="M401" s="189" t="n"/>
      <c r="N401" s="190" t="inlineStr">
        <is>
          <t>Behavioral Training Material</t>
        </is>
      </c>
      <c r="O401" s="190" t="n"/>
      <c r="P401" s="190" t="n"/>
      <c r="Q401" s="191" t="n">
        <v>2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August 2026</t>
        </is>
      </c>
      <c r="C402" s="190" t="inlineStr">
        <is>
          <t>Other</t>
        </is>
      </c>
      <c r="D402" s="190" t="n"/>
      <c r="E402" s="190" t="inlineStr">
        <is>
          <t>QIP CE data analysis</t>
        </is>
      </c>
      <c r="F402" s="190" t="n"/>
      <c r="G402" s="189" t="inlineStr">
        <is>
          <t>2026-08-04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QIP CE data analysis</t>
        </is>
      </c>
      <c r="O402" s="190" t="n"/>
      <c r="P402" s="190" t="n"/>
      <c r="Q402" s="191" t="n">
        <v>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August 2026</t>
        </is>
      </c>
      <c r="C403" s="190" t="inlineStr">
        <is>
          <t>Other</t>
        </is>
      </c>
      <c r="D403" s="190" t="n"/>
      <c r="E403" s="190" t="inlineStr">
        <is>
          <t>QIP Training Analysis</t>
        </is>
      </c>
      <c r="F403" s="190" t="n"/>
      <c r="G403" s="189" t="inlineStr">
        <is>
          <t>2026-08-05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QIP Training Analysis</t>
        </is>
      </c>
      <c r="O403" s="190" t="n"/>
      <c r="P403" s="190" t="n"/>
      <c r="Q403" s="191" t="n">
        <v>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August 2026</t>
        </is>
      </c>
      <c r="C404" s="190" t="inlineStr">
        <is>
          <t>Other</t>
        </is>
      </c>
      <c r="D404" s="190" t="n"/>
      <c r="E404" s="190" t="inlineStr">
        <is>
          <t>QIP CE data analysis</t>
        </is>
      </c>
      <c r="F404" s="190" t="n"/>
      <c r="G404" s="189" t="inlineStr">
        <is>
          <t>2026-08-03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QIP CE data analysis</t>
        </is>
      </c>
      <c r="O404" s="190" t="n"/>
      <c r="P404" s="190" t="n"/>
      <c r="Q404" s="191" t="n">
        <v>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August 2026</t>
        </is>
      </c>
      <c r="C405" s="190" t="inlineStr">
        <is>
          <t>Other</t>
        </is>
      </c>
      <c r="D405" s="190" t="n"/>
      <c r="E405" s="190" t="inlineStr">
        <is>
          <t>QIP  Training preparation</t>
        </is>
      </c>
      <c r="F405" s="190" t="n"/>
      <c r="G405" s="189" t="inlineStr">
        <is>
          <t>2026-08-06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QIP  Training preparation</t>
        </is>
      </c>
      <c r="O405" s="190" t="n"/>
      <c r="P405" s="190" t="n"/>
      <c r="Q405" s="191" t="n">
        <v>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August 2026</t>
        </is>
      </c>
      <c r="C406" s="190" t="inlineStr">
        <is>
          <t>Support Training</t>
        </is>
      </c>
      <c r="D406" s="190" t="n"/>
      <c r="E406" s="190" t="inlineStr">
        <is>
          <t>QIP  Training preparation</t>
        </is>
      </c>
      <c r="F406" s="190" t="n"/>
      <c r="G406" s="189" t="inlineStr">
        <is>
          <t>2026-08-07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QIP  Training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New Hire batch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New Hire batch</t>
        </is>
      </c>
      <c r="O407" s="190" t="n"/>
      <c r="P407" s="190" t="n"/>
      <c r="Q407" s="191" t="n">
        <v>4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New Hire batch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Girish A</t>
        </is>
      </c>
      <c r="K408" s="190" t="n"/>
      <c r="L408" s="189" t="inlineStr">
        <is>
          <t>Online</t>
        </is>
      </c>
      <c r="M408" s="189" t="n"/>
      <c r="N408" s="190" t="inlineStr">
        <is>
          <t>New Hire batch</t>
        </is>
      </c>
      <c r="O408" s="190" t="n"/>
      <c r="P408" s="190" t="n"/>
      <c r="Q408" s="191" t="n">
        <v>4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New Hire batch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Girish A</t>
        </is>
      </c>
      <c r="K409" s="190" t="n"/>
      <c r="L409" s="189" t="inlineStr">
        <is>
          <t>Online</t>
        </is>
      </c>
      <c r="M409" s="189" t="n"/>
      <c r="N409" s="190" t="inlineStr">
        <is>
          <t>New Hire batch</t>
        </is>
      </c>
      <c r="O409" s="190" t="n"/>
      <c r="P409" s="190" t="n"/>
      <c r="Q409" s="191" t="n">
        <v>4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QIP training Session 1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training Session 1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Support Training</t>
        </is>
      </c>
      <c r="D411" s="190" t="n"/>
      <c r="E411" s="190" t="inlineStr">
        <is>
          <t>QIP training Session 4</t>
        </is>
      </c>
      <c r="F411" s="190" t="n"/>
      <c r="G411" s="189" t="inlineStr">
        <is>
          <t>2026-08-20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Session 4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Support Training</t>
        </is>
      </c>
      <c r="D412" s="190" t="n"/>
      <c r="E412" s="190" t="inlineStr">
        <is>
          <t>QIP training Session 3</t>
        </is>
      </c>
      <c r="F412" s="190" t="n"/>
      <c r="G412" s="189" t="inlineStr">
        <is>
          <t>2026-08-19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Session 3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Support Training</t>
        </is>
      </c>
      <c r="D413" s="190" t="n"/>
      <c r="E413" s="190" t="inlineStr">
        <is>
          <t>QIP training Session 2</t>
        </is>
      </c>
      <c r="F413" s="190" t="n"/>
      <c r="G413" s="189" t="inlineStr">
        <is>
          <t>2026-08-18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training Session 2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Assessment</t>
        </is>
      </c>
      <c r="D414" s="190" t="n"/>
      <c r="E414" s="190" t="inlineStr">
        <is>
          <t>1st assessmeent for New Hire Training</t>
        </is>
      </c>
      <c r="F414" s="190" t="n"/>
      <c r="G414" s="189" t="inlineStr">
        <is>
          <t>2026-08-22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1st assessmeent for New Hire Training</t>
        </is>
      </c>
      <c r="O414" s="190" t="n"/>
      <c r="P414" s="190" t="n"/>
      <c r="Q414" s="191" t="n">
        <v>4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 training</t>
        </is>
      </c>
      <c r="F415" s="190" t="n"/>
      <c r="G415" s="189" t="inlineStr">
        <is>
          <t>2026-08-14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 training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 training</t>
        </is>
      </c>
      <c r="F416" s="190" t="n"/>
      <c r="G416" s="189" t="inlineStr">
        <is>
          <t>2026-08-17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Offline</t>
        </is>
      </c>
      <c r="M416" s="189" t="n"/>
      <c r="N416" s="190" t="inlineStr">
        <is>
          <t>New Hire batch training</t>
        </is>
      </c>
      <c r="O416" s="190" t="n"/>
      <c r="P416" s="190" t="n"/>
      <c r="Q416" s="191" t="n">
        <v>6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 training</t>
        </is>
      </c>
      <c r="F417" s="190" t="n"/>
      <c r="G417" s="189" t="inlineStr">
        <is>
          <t>2026-08-24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Offline</t>
        </is>
      </c>
      <c r="M417" s="189" t="n"/>
      <c r="N417" s="190" t="inlineStr">
        <is>
          <t>New Hire batch training</t>
        </is>
      </c>
      <c r="O417" s="190" t="n"/>
      <c r="P417" s="190" t="n"/>
      <c r="Q417" s="191" t="n">
        <v>5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 training</t>
        </is>
      </c>
      <c r="F418" s="190" t="n"/>
      <c r="G418" s="189" t="inlineStr">
        <is>
          <t>2026-08-26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Offline</t>
        </is>
      </c>
      <c r="M418" s="189" t="n"/>
      <c r="N418" s="190" t="inlineStr">
        <is>
          <t>New Hire batch training</t>
        </is>
      </c>
      <c r="O418" s="190" t="n"/>
      <c r="P418" s="190" t="n"/>
      <c r="Q418" s="191" t="n">
        <v>5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New Hire batch training</t>
        </is>
      </c>
      <c r="F419" s="190" t="n"/>
      <c r="G419" s="189" t="inlineStr">
        <is>
          <t>2026-08-27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Offline</t>
        </is>
      </c>
      <c r="M419" s="189" t="n"/>
      <c r="N419" s="190" t="inlineStr">
        <is>
          <t>New Hire batch training</t>
        </is>
      </c>
      <c r="O419" s="190" t="n"/>
      <c r="P419" s="190" t="n"/>
      <c r="Q419" s="191" t="n">
        <v>5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New Hire batch training</t>
        </is>
      </c>
      <c r="F420" s="190" t="n"/>
      <c r="G420" s="189" t="inlineStr">
        <is>
          <t>2026-08-31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Offline</t>
        </is>
      </c>
      <c r="M420" s="189" t="n"/>
      <c r="N420" s="190" t="inlineStr">
        <is>
          <t>New Hire batch training</t>
        </is>
      </c>
      <c r="O420" s="190" t="n"/>
      <c r="P420" s="190" t="n"/>
      <c r="Q420" s="191" t="n">
        <v>6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New Hire batch training</t>
        </is>
      </c>
      <c r="F421" s="190" t="n"/>
      <c r="G421" s="189" t="inlineStr">
        <is>
          <t>2026-08-25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Offline</t>
        </is>
      </c>
      <c r="M421" s="189" t="n"/>
      <c r="N421" s="190" t="inlineStr">
        <is>
          <t>New Hire batch training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Other</t>
        </is>
      </c>
      <c r="D422" s="190" t="n"/>
      <c r="E422" s="190" t="inlineStr">
        <is>
          <t>QIP question paper preparation</t>
        </is>
      </c>
      <c r="F422" s="190" t="n"/>
      <c r="G422" s="189" t="inlineStr">
        <is>
          <t>2026-08-25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Offline</t>
        </is>
      </c>
      <c r="M422" s="189" t="n"/>
      <c r="N422" s="190" t="inlineStr">
        <is>
          <t>QIP question paper preparation</t>
        </is>
      </c>
      <c r="O422" s="190" t="n"/>
      <c r="P422" s="190" t="n"/>
      <c r="Q422" s="191" t="n">
        <v>2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2026-08-28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Offline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3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QIP Final question paper preparation</t>
        </is>
      </c>
      <c r="F424" s="190" t="n"/>
      <c r="G424" s="189" t="inlineStr">
        <is>
          <t>2026-08-28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QIP Final question paper preparation</t>
        </is>
      </c>
      <c r="O424" s="190" t="n"/>
      <c r="P424" s="190" t="n"/>
      <c r="Q424" s="191" t="n">
        <v>2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2026-08-18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2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2026-08-19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2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2026-08-20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2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2026-08-11</t>
        </is>
      </c>
      <c r="H428" s="189" t="inlineStr">
        <is>
          <t>—</t>
        </is>
      </c>
      <c r="I428" s="189" t="n"/>
      <c r="J428" s="190" t="inlineStr">
        <is>
          <t>Harish Bhat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2026-08-12</t>
        </is>
      </c>
      <c r="H429" s="189" t="inlineStr">
        <is>
          <t>—</t>
        </is>
      </c>
      <c r="I429" s="189" t="n"/>
      <c r="J429" s="190" t="inlineStr">
        <is>
          <t>Harish Bhat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2026-08-13</t>
        </is>
      </c>
      <c r="H430" s="189" t="inlineStr">
        <is>
          <t>—</t>
        </is>
      </c>
      <c r="I430" s="189" t="n"/>
      <c r="J430" s="190" t="inlineStr">
        <is>
          <t>Harish Bhat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6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2026-08-14</t>
        </is>
      </c>
      <c r="H431" s="189" t="inlineStr">
        <is>
          <t>—</t>
        </is>
      </c>
      <c r="I431" s="189" t="n"/>
      <c r="J431" s="190" t="inlineStr">
        <is>
          <t>Harish Bhat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6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Assessment</t>
        </is>
      </c>
      <c r="D432" s="190" t="n"/>
      <c r="E432" s="190" t="inlineStr">
        <is>
          <t>!st Assesment for New Hire Training</t>
        </is>
      </c>
      <c r="F432" s="190" t="n"/>
      <c r="G432" s="189" t="inlineStr">
        <is>
          <t>2026-08-22</t>
        </is>
      </c>
      <c r="H432" s="189" t="inlineStr">
        <is>
          <t>—</t>
        </is>
      </c>
      <c r="I432" s="189" t="n"/>
      <c r="J432" s="190" t="inlineStr">
        <is>
          <t>Harish Bhat</t>
        </is>
      </c>
      <c r="K432" s="190" t="n"/>
      <c r="L432" s="189" t="inlineStr">
        <is>
          <t>Offline</t>
        </is>
      </c>
      <c r="M432" s="189" t="n"/>
      <c r="N432" s="190" t="inlineStr">
        <is>
          <t>!st Assesment for New Hire Training</t>
        </is>
      </c>
      <c r="O432" s="190" t="n"/>
      <c r="P432" s="190" t="n"/>
      <c r="Q432" s="191" t="n">
        <v>4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Other</t>
        </is>
      </c>
      <c r="D433" s="190" t="n"/>
      <c r="E433" s="190" t="inlineStr">
        <is>
          <t>varsity tickets</t>
        </is>
      </c>
      <c r="F433" s="190" t="n"/>
      <c r="G433" s="189" t="inlineStr">
        <is>
          <t>2026-08-10</t>
        </is>
      </c>
      <c r="H433" s="189" t="inlineStr">
        <is>
          <t>—</t>
        </is>
      </c>
      <c r="I433" s="189" t="n"/>
      <c r="J433" s="190" t="inlineStr">
        <is>
          <t>Harish Bhat</t>
        </is>
      </c>
      <c r="K433" s="190" t="n"/>
      <c r="L433" s="189" t="inlineStr">
        <is>
          <t>Online</t>
        </is>
      </c>
      <c r="M433" s="189" t="n"/>
      <c r="N433" s="190" t="inlineStr">
        <is>
          <t>varsity tickets</t>
        </is>
      </c>
      <c r="O433" s="190" t="n"/>
      <c r="P433" s="190" t="n"/>
      <c r="Q433" s="191" t="n">
        <v>15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Other</t>
        </is>
      </c>
      <c r="D434" s="190" t="n"/>
      <c r="E434" s="190" t="inlineStr">
        <is>
          <t>varsity tickets</t>
        </is>
      </c>
      <c r="F434" s="190" t="n"/>
      <c r="G434" s="189" t="inlineStr">
        <is>
          <t>2026-08-12</t>
        </is>
      </c>
      <c r="H434" s="189" t="inlineStr">
        <is>
          <t>—</t>
        </is>
      </c>
      <c r="I434" s="189" t="n"/>
      <c r="J434" s="190" t="inlineStr">
        <is>
          <t>Harish Bhat</t>
        </is>
      </c>
      <c r="K434" s="190" t="n"/>
      <c r="L434" s="189" t="inlineStr">
        <is>
          <t>Online</t>
        </is>
      </c>
      <c r="M434" s="189" t="n"/>
      <c r="N434" s="190" t="inlineStr">
        <is>
          <t>varsity tickets</t>
        </is>
      </c>
      <c r="O434" s="190" t="n"/>
      <c r="P434" s="190" t="n"/>
      <c r="Q434" s="191" t="n">
        <v>15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Other</t>
        </is>
      </c>
      <c r="D435" s="190" t="n"/>
      <c r="E435" s="190" t="inlineStr">
        <is>
          <t>varsity tickets</t>
        </is>
      </c>
      <c r="F435" s="190" t="n"/>
      <c r="G435" s="189" t="inlineStr">
        <is>
          <t>2026-08-13</t>
        </is>
      </c>
      <c r="H435" s="189" t="inlineStr">
        <is>
          <t>—</t>
        </is>
      </c>
      <c r="I435" s="189" t="n"/>
      <c r="J435" s="190" t="inlineStr">
        <is>
          <t>Harish Bhat</t>
        </is>
      </c>
      <c r="K435" s="190" t="n"/>
      <c r="L435" s="189" t="inlineStr">
        <is>
          <t>Online</t>
        </is>
      </c>
      <c r="M435" s="189" t="n"/>
      <c r="N435" s="190" t="inlineStr">
        <is>
          <t>varsity tickets</t>
        </is>
      </c>
      <c r="O435" s="190" t="n"/>
      <c r="P435" s="190" t="n"/>
      <c r="Q435" s="191" t="n">
        <v>15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Other</t>
        </is>
      </c>
      <c r="D436" s="190" t="n"/>
      <c r="E436" s="190" t="inlineStr">
        <is>
          <t>varsity tickets</t>
        </is>
      </c>
      <c r="F436" s="190" t="n"/>
      <c r="G436" s="189" t="inlineStr">
        <is>
          <t>2026-08-14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Online</t>
        </is>
      </c>
      <c r="M436" s="189" t="n"/>
      <c r="N436" s="190" t="inlineStr">
        <is>
          <t>varsity tickets</t>
        </is>
      </c>
      <c r="O436" s="190" t="n"/>
      <c r="P436" s="190" t="n"/>
      <c r="Q436" s="191" t="n">
        <v>15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Other</t>
        </is>
      </c>
      <c r="D437" s="190" t="n"/>
      <c r="E437" s="190" t="inlineStr">
        <is>
          <t>varsity tickets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Online</t>
        </is>
      </c>
      <c r="M437" s="189" t="n"/>
      <c r="N437" s="190" t="inlineStr">
        <is>
          <t>varsity tickets</t>
        </is>
      </c>
      <c r="O437" s="190" t="n"/>
      <c r="P437" s="190" t="n"/>
      <c r="Q437" s="191" t="n">
        <v>0.15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2026-08-17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2026-08-18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2026-08-19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Support Training</t>
        </is>
      </c>
      <c r="D441" s="190" t="n"/>
      <c r="E441" s="190" t="inlineStr">
        <is>
          <t>New Hire batch training</t>
        </is>
      </c>
      <c r="F441" s="190" t="n"/>
      <c r="G441" s="189" t="inlineStr">
        <is>
          <t>2026-08-20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New Hire batch training</t>
        </is>
      </c>
      <c r="O441" s="190" t="n"/>
      <c r="P441" s="190" t="n"/>
      <c r="Q441" s="191" t="n">
        <v>6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Support Training</t>
        </is>
      </c>
      <c r="D442" s="190" t="n"/>
      <c r="E442" s="190" t="inlineStr">
        <is>
          <t>New Hire batch training</t>
        </is>
      </c>
      <c r="F442" s="190" t="n"/>
      <c r="G442" s="189" t="inlineStr">
        <is>
          <t>2026-08-21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Offline</t>
        </is>
      </c>
      <c r="M442" s="189" t="n"/>
      <c r="N442" s="190" t="inlineStr">
        <is>
          <t>New Hire batch training</t>
        </is>
      </c>
      <c r="O442" s="190" t="n"/>
      <c r="P442" s="190" t="n"/>
      <c r="Q442" s="191" t="n">
        <v>6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Assessment</t>
        </is>
      </c>
      <c r="D443" s="190" t="n"/>
      <c r="E443" s="190" t="inlineStr">
        <is>
          <t>New Hire batch training</t>
        </is>
      </c>
      <c r="F443" s="190" t="n"/>
      <c r="G443" s="189" t="inlineStr">
        <is>
          <t>2026-08-24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New Hire batch training</t>
        </is>
      </c>
      <c r="O443" s="190" t="n"/>
      <c r="P443" s="190" t="n"/>
      <c r="Q443" s="191" t="n">
        <v>6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Assessment</t>
        </is>
      </c>
      <c r="D444" s="190" t="n"/>
      <c r="E444" s="190" t="inlineStr">
        <is>
          <t>New Hire batch training</t>
        </is>
      </c>
      <c r="F444" s="190" t="n"/>
      <c r="G444" s="189" t="inlineStr">
        <is>
          <t>2026-08-25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New Hire batch training</t>
        </is>
      </c>
      <c r="O444" s="190" t="n"/>
      <c r="P444" s="190" t="n"/>
      <c r="Q444" s="191" t="n">
        <v>6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Assessment</t>
        </is>
      </c>
      <c r="D445" s="190" t="n"/>
      <c r="E445" s="190" t="inlineStr">
        <is>
          <t>New Hire batch training</t>
        </is>
      </c>
      <c r="F445" s="190" t="n"/>
      <c r="G445" s="189" t="inlineStr">
        <is>
          <t>2026-08-26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New Hire batch training</t>
        </is>
      </c>
      <c r="O445" s="190" t="n"/>
      <c r="P445" s="190" t="n"/>
      <c r="Q445" s="191" t="n">
        <v>6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Assessment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2026-08-27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Assessment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2026-08-28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Online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2026-08-31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Online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3L session</t>
        </is>
      </c>
      <c r="F449" s="190" t="n"/>
      <c r="G449" s="189" t="inlineStr">
        <is>
          <t>2026-08-24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Online</t>
        </is>
      </c>
      <c r="M449" s="189" t="n"/>
      <c r="N449" s="190" t="inlineStr">
        <is>
          <t>3L session</t>
        </is>
      </c>
      <c r="O449" s="190" t="n"/>
      <c r="P449" s="190" t="n"/>
      <c r="Q449" s="191" t="n">
        <v>1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QIP CE Data Analysis</t>
        </is>
      </c>
      <c r="F450" s="190" t="n"/>
      <c r="G450" s="189" t="inlineStr">
        <is>
          <t>2026-08-03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Online</t>
        </is>
      </c>
      <c r="M450" s="189" t="n"/>
      <c r="N450" s="190" t="inlineStr">
        <is>
          <t>QIP CE Data Analysis</t>
        </is>
      </c>
      <c r="O450" s="190" t="n"/>
      <c r="P450" s="190" t="n"/>
      <c r="Q450" s="191" t="n">
        <v>3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Other</t>
        </is>
      </c>
      <c r="D451" s="190" t="n"/>
      <c r="E451" s="190" t="inlineStr">
        <is>
          <t>QIP CE Data Analysis</t>
        </is>
      </c>
      <c r="F451" s="190" t="n"/>
      <c r="G451" s="189" t="inlineStr">
        <is>
          <t>2026-08-04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QIP CE Data Analysis</t>
        </is>
      </c>
      <c r="O451" s="190" t="n"/>
      <c r="P451" s="190" t="n"/>
      <c r="Q451" s="191" t="n">
        <v>3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Support Training</t>
        </is>
      </c>
      <c r="D452" s="190" t="n"/>
      <c r="E452" s="190" t="inlineStr">
        <is>
          <t>QIP Training Analysis</t>
        </is>
      </c>
      <c r="F452" s="190" t="n"/>
      <c r="G452" s="189" t="inlineStr">
        <is>
          <t>2026-08-05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QIP Training Analysis</t>
        </is>
      </c>
      <c r="O452" s="190" t="n"/>
      <c r="P452" s="190" t="n"/>
      <c r="Q452" s="191" t="n">
        <v>3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Other</t>
        </is>
      </c>
      <c r="D453" s="190" t="n"/>
      <c r="E453" s="190" t="inlineStr">
        <is>
          <t>New hire batch training Preparation</t>
        </is>
      </c>
      <c r="F453" s="190" t="n"/>
      <c r="G453" s="189" t="inlineStr">
        <is>
          <t>2026-08-06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 Preparation</t>
        </is>
      </c>
      <c r="O453" s="190" t="n"/>
      <c r="P453" s="190" t="n"/>
      <c r="Q453" s="191" t="n">
        <v>4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Support Training</t>
        </is>
      </c>
      <c r="D454" s="190" t="n"/>
      <c r="E454" s="190" t="inlineStr">
        <is>
          <t>New hire batch training Preparation</t>
        </is>
      </c>
      <c r="F454" s="190" t="n"/>
      <c r="G454" s="189" t="inlineStr">
        <is>
          <t>2026-08-07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 Preparation</t>
        </is>
      </c>
      <c r="O454" s="190" t="n"/>
      <c r="P454" s="190" t="n"/>
      <c r="Q454" s="191" t="n">
        <v>4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Support Training</t>
        </is>
      </c>
      <c r="D455" s="190" t="n"/>
      <c r="E455" s="190" t="inlineStr">
        <is>
          <t>Varsity tickets</t>
        </is>
      </c>
      <c r="F455" s="190" t="n"/>
      <c r="G455" s="189" t="inlineStr">
        <is>
          <t>2026-08-03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Varsity tickets</t>
        </is>
      </c>
      <c r="O455" s="190" t="n"/>
      <c r="P455" s="190" t="n"/>
      <c r="Q455" s="191" t="n">
        <v>0.15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Varsity tickets</t>
        </is>
      </c>
      <c r="F456" s="190" t="n"/>
      <c r="G456" s="189" t="inlineStr">
        <is>
          <t>2026-08-04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Varsity tickets</t>
        </is>
      </c>
      <c r="O456" s="190" t="n"/>
      <c r="P456" s="190" t="n"/>
      <c r="Q456" s="191" t="n">
        <v>0.15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Varsity tickets</t>
        </is>
      </c>
      <c r="F457" s="190" t="n"/>
      <c r="G457" s="189" t="inlineStr">
        <is>
          <t>2026-08-05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Varsity tickets</t>
        </is>
      </c>
      <c r="O457" s="190" t="n"/>
      <c r="P457" s="190" t="n"/>
      <c r="Q457" s="191" t="n">
        <v>0.15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Varsity tickets</t>
        </is>
      </c>
      <c r="F458" s="190" t="n"/>
      <c r="G458" s="189" t="inlineStr">
        <is>
          <t>2026-08-06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Varsity tickets</t>
        </is>
      </c>
      <c r="O458" s="190" t="n"/>
      <c r="P458" s="190" t="n"/>
      <c r="Q458" s="191" t="n">
        <v>0.15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Varsity tickets</t>
        </is>
      </c>
      <c r="F459" s="190" t="n"/>
      <c r="G459" s="189" t="inlineStr">
        <is>
          <t>2026-08-07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Varsity tickets</t>
        </is>
      </c>
      <c r="O459" s="190" t="n"/>
      <c r="P459" s="190" t="n"/>
      <c r="Q459" s="191" t="n">
        <v>0.15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New Hire batch training</t>
        </is>
      </c>
      <c r="F460" s="190" t="n"/>
      <c r="G460" s="189" t="inlineStr">
        <is>
          <t>2026-08-31</t>
        </is>
      </c>
      <c r="H460" s="189" t="inlineStr">
        <is>
          <t>—</t>
        </is>
      </c>
      <c r="I460" s="189" t="n"/>
      <c r="J460" s="190" t="inlineStr">
        <is>
          <t>Girish A</t>
        </is>
      </c>
      <c r="K460" s="190" t="n"/>
      <c r="L460" s="189" t="inlineStr">
        <is>
          <t>Offline</t>
        </is>
      </c>
      <c r="M460" s="189" t="n"/>
      <c r="N460" s="190" t="inlineStr">
        <is>
          <t>New Hire batch training</t>
        </is>
      </c>
      <c r="O460" s="190" t="n"/>
      <c r="P460" s="190" t="n"/>
      <c r="Q460" s="191" t="n">
        <v>6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varsity tickets</t>
        </is>
      </c>
      <c r="F461" s="190" t="n"/>
      <c r="G461" s="189" t="inlineStr">
        <is>
          <t>2026-08-31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varsity tickets</t>
        </is>
      </c>
      <c r="O461" s="190" t="n"/>
      <c r="P461" s="190" t="n"/>
      <c r="Q461" s="191" t="n">
        <v>0.15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September 2026</t>
        </is>
      </c>
      <c r="C462" s="190" t="inlineStr">
        <is>
          <t>Support Training</t>
        </is>
      </c>
      <c r="D462" s="190" t="n"/>
      <c r="E462" s="190" t="inlineStr">
        <is>
          <t>New Hire batch training</t>
        </is>
      </c>
      <c r="F462" s="190" t="n"/>
      <c r="G462" s="189" t="inlineStr">
        <is>
          <t>2026-09-01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</t>
        </is>
      </c>
      <c r="O462" s="190" t="n"/>
      <c r="P462" s="190" t="n"/>
      <c r="Q462" s="191" t="n">
        <v>6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September 2026</t>
        </is>
      </c>
      <c r="C463" s="190" t="inlineStr">
        <is>
          <t>Support Training</t>
        </is>
      </c>
      <c r="D463" s="190" t="n"/>
      <c r="E463" s="190" t="inlineStr">
        <is>
          <t>New Hire batch training</t>
        </is>
      </c>
      <c r="F463" s="190" t="n"/>
      <c r="G463" s="189" t="inlineStr">
        <is>
          <t>2026-09-02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</t>
        </is>
      </c>
      <c r="O463" s="190" t="n"/>
      <c r="P463" s="190" t="n"/>
      <c r="Q463" s="191" t="n">
        <v>6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September 2026</t>
        </is>
      </c>
      <c r="C464" s="190" t="inlineStr">
        <is>
          <t>Support Training</t>
        </is>
      </c>
      <c r="D464" s="190" t="n"/>
      <c r="E464" s="190" t="inlineStr">
        <is>
          <t>New Hire batch training</t>
        </is>
      </c>
      <c r="F464" s="190" t="n"/>
      <c r="G464" s="189" t="inlineStr">
        <is>
          <t>2026-09-03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New Hire batch training</t>
        </is>
      </c>
      <c r="O464" s="190" t="n"/>
      <c r="P464" s="190" t="n"/>
      <c r="Q464" s="191" t="n">
        <v>6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September 2026</t>
        </is>
      </c>
      <c r="C465" s="190" t="inlineStr">
        <is>
          <t>Support Training</t>
        </is>
      </c>
      <c r="D465" s="190" t="n"/>
      <c r="E465" s="190" t="inlineStr">
        <is>
          <t>New Hire batch training</t>
        </is>
      </c>
      <c r="F465" s="190" t="n"/>
      <c r="G465" s="189" t="inlineStr">
        <is>
          <t>2026-09-04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New Hire batch training</t>
        </is>
      </c>
      <c r="O465" s="190" t="n"/>
      <c r="P465" s="190" t="n"/>
      <c r="Q465" s="191" t="n">
        <v>6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September 2026</t>
        </is>
      </c>
      <c r="C466" s="190" t="inlineStr">
        <is>
          <t>Assessment</t>
        </is>
      </c>
      <c r="D466" s="190" t="n"/>
      <c r="E466" s="190" t="inlineStr">
        <is>
          <t>Assesment 2 for New hire training</t>
        </is>
      </c>
      <c r="F466" s="190" t="n"/>
      <c r="G466" s="189" t="inlineStr">
        <is>
          <t>2026-09-05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Assesment 2 for New hire training</t>
        </is>
      </c>
      <c r="O466" s="190" t="n"/>
      <c r="P466" s="190" t="n"/>
      <c r="Q466" s="191" t="n">
        <v>4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September 2026</t>
        </is>
      </c>
      <c r="C467" s="190" t="inlineStr">
        <is>
          <t>Support Training</t>
        </is>
      </c>
      <c r="D467" s="190" t="n"/>
      <c r="E467" s="190" t="inlineStr">
        <is>
          <t>Leadership team - Support (SO )</t>
        </is>
      </c>
      <c r="F467" s="190" t="n"/>
      <c r="G467" s="189" t="inlineStr">
        <is>
          <t>2026-09-09</t>
        </is>
      </c>
      <c r="H467" s="189" t="inlineStr">
        <is>
          <t>—</t>
        </is>
      </c>
      <c r="I467" s="189" t="n"/>
      <c r="J467" s="190" t="inlineStr">
        <is>
          <t>Freeda Reshma Dsouza</t>
        </is>
      </c>
      <c r="K467" s="190" t="n"/>
      <c r="L467" s="189" t="inlineStr">
        <is>
          <t>Offline</t>
        </is>
      </c>
      <c r="M467" s="189" t="n"/>
      <c r="N467" s="190" t="inlineStr">
        <is>
          <t>Behavioral Training Batch 1 - WFO</t>
        </is>
      </c>
      <c r="O467" s="190" t="n"/>
      <c r="P467" s="190" t="n"/>
      <c r="Q467" s="191" t="n">
        <v>2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Leaderships team(SO)</t>
        </is>
      </c>
      <c r="F468" s="190" t="n"/>
      <c r="G468" s="189" t="inlineStr">
        <is>
          <t>2026-09-10</t>
        </is>
      </c>
      <c r="H468" s="189" t="inlineStr">
        <is>
          <t>—</t>
        </is>
      </c>
      <c r="I468" s="189" t="n"/>
      <c r="J468" s="190" t="inlineStr">
        <is>
          <t>Freeda Reshma Dsouza</t>
        </is>
      </c>
      <c r="K468" s="190" t="n"/>
      <c r="L468" s="189" t="inlineStr">
        <is>
          <t>Offline</t>
        </is>
      </c>
      <c r="M468" s="189" t="n"/>
      <c r="N468" s="190" t="inlineStr">
        <is>
          <t>Behavioral training -Batch 2(WFO)</t>
        </is>
      </c>
      <c r="O468" s="190" t="n"/>
      <c r="P468" s="190" t="n"/>
      <c r="Q468" s="191" t="n">
        <v>2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Behavioral training - Mangers SO</t>
        </is>
      </c>
      <c r="F469" s="190" t="n"/>
      <c r="G469" s="189" t="inlineStr">
        <is>
          <t>2026-09-16</t>
        </is>
      </c>
      <c r="H469" s="189" t="inlineStr">
        <is>
          <t>—</t>
        </is>
      </c>
      <c r="I469" s="189" t="n"/>
      <c r="J469" s="190" t="inlineStr">
        <is>
          <t>Freeda Reshma Dsouza</t>
        </is>
      </c>
      <c r="K469" s="190" t="n"/>
      <c r="L469" s="189" t="inlineStr">
        <is>
          <t>Offline</t>
        </is>
      </c>
      <c r="M469" s="189" t="n"/>
      <c r="N469" s="190" t="inlineStr">
        <is>
          <t>Behavioral training - Mangers SO</t>
        </is>
      </c>
      <c r="O469" s="190" t="n"/>
      <c r="P469" s="190" t="n"/>
      <c r="Q469" s="191" t="n">
        <v>3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Behavioral training - Mangers SO</t>
        </is>
      </c>
      <c r="F470" s="190" t="n"/>
      <c r="G470" s="189" t="inlineStr">
        <is>
          <t>2026-09-17</t>
        </is>
      </c>
      <c r="H470" s="189" t="inlineStr">
        <is>
          <t>—</t>
        </is>
      </c>
      <c r="I470" s="189" t="n"/>
      <c r="J470" s="190" t="inlineStr">
        <is>
          <t>Freeda Reshma Dsouza</t>
        </is>
      </c>
      <c r="K470" s="190" t="n"/>
      <c r="L470" s="189" t="inlineStr">
        <is>
          <t>Online</t>
        </is>
      </c>
      <c r="M470" s="189" t="n"/>
      <c r="N470" s="190" t="inlineStr">
        <is>
          <t>Behavioral training - Mangers SO</t>
        </is>
      </c>
      <c r="O470" s="190" t="n"/>
      <c r="P470" s="190" t="n"/>
      <c r="Q470" s="191" t="n">
        <v>3.25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 (OJT)</t>
        </is>
      </c>
      <c r="F471" s="190" t="n"/>
      <c r="G471" s="189" t="inlineStr">
        <is>
          <t>2026-09-07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Offline</t>
        </is>
      </c>
      <c r="M471" s="189" t="n"/>
      <c r="N471" s="190" t="inlineStr">
        <is>
          <t>New hire batch training (OJT)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 (OJT)</t>
        </is>
      </c>
      <c r="F472" s="190" t="n"/>
      <c r="G472" s="189" t="inlineStr">
        <is>
          <t>2026-09-08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Offline</t>
        </is>
      </c>
      <c r="M472" s="189" t="n"/>
      <c r="N472" s="190" t="inlineStr">
        <is>
          <t>New hire batch training (OJT)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New hire batch training (OJT)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Offline</t>
        </is>
      </c>
      <c r="M473" s="189" t="n"/>
      <c r="N473" s="190" t="inlineStr">
        <is>
          <t>New hire batch training (OJT)</t>
        </is>
      </c>
      <c r="O473" s="190" t="n"/>
      <c r="P473" s="190" t="n"/>
      <c r="Q473" s="191" t="n">
        <v>6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New hire batch training (OJT)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Harish Bhat</t>
        </is>
      </c>
      <c r="K474" s="190" t="n"/>
      <c r="L474" s="189" t="inlineStr">
        <is>
          <t>Offline</t>
        </is>
      </c>
      <c r="M474" s="189" t="n"/>
      <c r="N474" s="190" t="inlineStr">
        <is>
          <t>New hire batch training (OJT)</t>
        </is>
      </c>
      <c r="O474" s="190" t="n"/>
      <c r="P474" s="190" t="n"/>
      <c r="Q474" s="191" t="n">
        <v>6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New hire batch training (OJT)</t>
        </is>
      </c>
      <c r="F475" s="190" t="n"/>
      <c r="G475" s="189" t="inlineStr">
        <is>
          <t>2026-09-11</t>
        </is>
      </c>
      <c r="H475" s="189" t="inlineStr">
        <is>
          <t>—</t>
        </is>
      </c>
      <c r="I475" s="189" t="n"/>
      <c r="J475" s="190" t="inlineStr">
        <is>
          <t>Harish Bhat</t>
        </is>
      </c>
      <c r="K475" s="190" t="n"/>
      <c r="L475" s="189" t="inlineStr">
        <is>
          <t>Offline</t>
        </is>
      </c>
      <c r="M475" s="189" t="n"/>
      <c r="N475" s="190" t="inlineStr">
        <is>
          <t>New hire batch training (OJT)</t>
        </is>
      </c>
      <c r="O475" s="190" t="n"/>
      <c r="P475" s="190" t="n"/>
      <c r="Q475" s="191" t="n">
        <v>6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New hire batch training (OJT)</t>
        </is>
      </c>
      <c r="F476" s="190" t="n"/>
      <c r="G476" s="189" t="inlineStr">
        <is>
          <t>2026-09-14</t>
        </is>
      </c>
      <c r="H476" s="189" t="inlineStr">
        <is>
          <t>—</t>
        </is>
      </c>
      <c r="I476" s="189" t="n"/>
      <c r="J476" s="190" t="inlineStr">
        <is>
          <t>Harish Bhat</t>
        </is>
      </c>
      <c r="K476" s="190" t="n"/>
      <c r="L476" s="189" t="inlineStr">
        <is>
          <t>Offline</t>
        </is>
      </c>
      <c r="M476" s="189" t="n"/>
      <c r="N476" s="190" t="inlineStr">
        <is>
          <t>New hire batch training (OJT)</t>
        </is>
      </c>
      <c r="O476" s="190" t="n"/>
      <c r="P476" s="190" t="n"/>
      <c r="Q476" s="191" t="n">
        <v>6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New hire batch training (OJT)</t>
        </is>
      </c>
      <c r="F477" s="190" t="n"/>
      <c r="G477" s="189" t="inlineStr">
        <is>
          <t>2026-09-15</t>
        </is>
      </c>
      <c r="H477" s="189" t="inlineStr">
        <is>
          <t>—</t>
        </is>
      </c>
      <c r="I477" s="189" t="n"/>
      <c r="J477" s="190" t="inlineStr">
        <is>
          <t>Harish Bhat</t>
        </is>
      </c>
      <c r="K477" s="190" t="n"/>
      <c r="L477" s="189" t="inlineStr">
        <is>
          <t>Offline</t>
        </is>
      </c>
      <c r="M477" s="189" t="n"/>
      <c r="N477" s="190" t="inlineStr">
        <is>
          <t>New hire batch training (OJT)</t>
        </is>
      </c>
      <c r="O477" s="190" t="n"/>
      <c r="P477" s="190" t="n"/>
      <c r="Q477" s="191" t="n">
        <v>6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New hire batch training (OJT)</t>
        </is>
      </c>
      <c r="F478" s="190" t="n"/>
      <c r="G478" s="189" t="inlineStr">
        <is>
          <t>2026-09-16</t>
        </is>
      </c>
      <c r="H478" s="189" t="inlineStr">
        <is>
          <t>—</t>
        </is>
      </c>
      <c r="I478" s="189" t="n"/>
      <c r="J478" s="190" t="inlineStr">
        <is>
          <t>Harish Bhat</t>
        </is>
      </c>
      <c r="K478" s="190" t="n"/>
      <c r="L478" s="189" t="inlineStr">
        <is>
          <t>Offline</t>
        </is>
      </c>
      <c r="M478" s="189" t="n"/>
      <c r="N478" s="190" t="inlineStr">
        <is>
          <t>New hire batch training (OJT)</t>
        </is>
      </c>
      <c r="O478" s="190" t="n"/>
      <c r="P478" s="190" t="n"/>
      <c r="Q478" s="191" t="n">
        <v>6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2026-09-17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2026-09-18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2026-09-21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2026-09-22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2026-09-23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2026-09-24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2026-09-25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2026-09-28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2026-09-29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2026-09-30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2026-09-19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Online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4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</t>
        </is>
      </c>
      <c r="F490" s="190" t="n"/>
      <c r="G490" s="189" t="inlineStr">
        <is>
          <t>2026-09-03</t>
        </is>
      </c>
      <c r="H490" s="189" t="inlineStr">
        <is>
          <t>—</t>
        </is>
      </c>
      <c r="I490" s="189" t="n"/>
      <c r="J490" s="190" t="inlineStr">
        <is>
          <t>Girish A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Assesment 2 for New hire training</t>
        </is>
      </c>
      <c r="F491" s="190" t="n"/>
      <c r="G491" s="189" t="inlineStr">
        <is>
          <t>2026-09-05</t>
        </is>
      </c>
      <c r="H491" s="189" t="inlineStr">
        <is>
          <t>—</t>
        </is>
      </c>
      <c r="I491" s="189" t="n"/>
      <c r="J491" s="190" t="inlineStr">
        <is>
          <t>Girish A</t>
        </is>
      </c>
      <c r="K491" s="190" t="n"/>
      <c r="L491" s="189" t="inlineStr">
        <is>
          <t>Online</t>
        </is>
      </c>
      <c r="M491" s="189" t="n"/>
      <c r="N491" s="190" t="inlineStr">
        <is>
          <t>Assesment 2 for New hire training</t>
        </is>
      </c>
      <c r="O491" s="190" t="n"/>
      <c r="P491" s="190" t="n"/>
      <c r="Q491" s="191" t="n">
        <v>4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</t>
        </is>
      </c>
      <c r="F492" s="190" t="n"/>
      <c r="G492" s="189" t="inlineStr">
        <is>
          <t>2026-09-01</t>
        </is>
      </c>
      <c r="H492" s="189" t="inlineStr">
        <is>
          <t>—</t>
        </is>
      </c>
      <c r="I492" s="189" t="n"/>
      <c r="J492" s="190" t="inlineStr">
        <is>
          <t>Girish A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</t>
        </is>
      </c>
      <c r="O492" s="190" t="n"/>
      <c r="P492" s="190" t="n"/>
      <c r="Q492" s="191" t="n">
        <v>4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Other</t>
        </is>
      </c>
      <c r="D493" s="190" t="n"/>
      <c r="E493" s="190" t="inlineStr">
        <is>
          <t>Preparing QIP Assessment questions</t>
        </is>
      </c>
      <c r="F493" s="190" t="n"/>
      <c r="G493" s="189" t="inlineStr">
        <is>
          <t>2026-09-01</t>
        </is>
      </c>
      <c r="H493" s="189" t="inlineStr">
        <is>
          <t>—</t>
        </is>
      </c>
      <c r="I493" s="189" t="n"/>
      <c r="J493" s="190" t="inlineStr">
        <is>
          <t>Girish A</t>
        </is>
      </c>
      <c r="K493" s="190" t="n"/>
      <c r="L493" s="189" t="inlineStr">
        <is>
          <t>Online</t>
        </is>
      </c>
      <c r="M493" s="189" t="n"/>
      <c r="N493" s="190" t="inlineStr">
        <is>
          <t>Preparing QIP Assessment questions</t>
        </is>
      </c>
      <c r="O493" s="190" t="n"/>
      <c r="P493" s="190" t="n"/>
      <c r="Q493" s="191" t="n">
        <v>2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Preparing QIP Assessment questions</t>
        </is>
      </c>
      <c r="F494" s="190" t="n"/>
      <c r="G494" s="189" t="inlineStr">
        <is>
          <t>2026-09-02</t>
        </is>
      </c>
      <c r="H494" s="189" t="inlineStr">
        <is>
          <t>—</t>
        </is>
      </c>
      <c r="I494" s="189" t="n"/>
      <c r="J494" s="190" t="inlineStr">
        <is>
          <t>Girish A</t>
        </is>
      </c>
      <c r="K494" s="190" t="n"/>
      <c r="L494" s="189" t="inlineStr">
        <is>
          <t>Online</t>
        </is>
      </c>
      <c r="M494" s="189" t="n"/>
      <c r="N494" s="190" t="inlineStr">
        <is>
          <t>Preparing QIP Assessment questions</t>
        </is>
      </c>
      <c r="O494" s="190" t="n"/>
      <c r="P494" s="190" t="n"/>
      <c r="Q494" s="191" t="n">
        <v>2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</t>
        </is>
      </c>
      <c r="F495" s="190" t="n"/>
      <c r="G495" s="189" t="inlineStr">
        <is>
          <t>2026-09-02</t>
        </is>
      </c>
      <c r="H495" s="189" t="inlineStr">
        <is>
          <t>—</t>
        </is>
      </c>
      <c r="I495" s="189" t="n"/>
      <c r="J495" s="190" t="inlineStr">
        <is>
          <t>Girish A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</t>
        </is>
      </c>
      <c r="O495" s="190" t="n"/>
      <c r="P495" s="190" t="n"/>
      <c r="Q495" s="191" t="n">
        <v>4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2026-09-07</t>
        </is>
      </c>
      <c r="H496" s="189" t="inlineStr">
        <is>
          <t>—</t>
        </is>
      </c>
      <c r="I496" s="189" t="n"/>
      <c r="J496" s="190" t="inlineStr">
        <is>
          <t>Girish A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4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2026-09-08</t>
        </is>
      </c>
      <c r="H497" s="189" t="inlineStr">
        <is>
          <t>—</t>
        </is>
      </c>
      <c r="I497" s="189" t="n"/>
      <c r="J497" s="190" t="inlineStr">
        <is>
          <t>Girish A</t>
        </is>
      </c>
      <c r="K497" s="190" t="n"/>
      <c r="L497" s="189" t="inlineStr">
        <is>
          <t>Offline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September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2026-09-09</t>
        </is>
      </c>
      <c r="H498" s="189" t="inlineStr">
        <is>
          <t>—</t>
        </is>
      </c>
      <c r="I498" s="189" t="n"/>
      <c r="J498" s="190" t="inlineStr">
        <is>
          <t>Girish A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4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89" t="inlineStr">
        <is>
          <t>September 2026</t>
        </is>
      </c>
      <c r="C499" s="190" t="inlineStr">
        <is>
          <t>Support Training</t>
        </is>
      </c>
      <c r="D499" s="190" t="n"/>
      <c r="E499" s="190" t="inlineStr">
        <is>
          <t>New hire batch training (OJT)</t>
        </is>
      </c>
      <c r="F499" s="190" t="n"/>
      <c r="G499" s="189" t="inlineStr">
        <is>
          <t>2026-09-10</t>
        </is>
      </c>
      <c r="H499" s="189" t="inlineStr">
        <is>
          <t>—</t>
        </is>
      </c>
      <c r="I499" s="189" t="n"/>
      <c r="J499" s="190" t="inlineStr">
        <is>
          <t>Girish A</t>
        </is>
      </c>
      <c r="K499" s="190" t="n"/>
      <c r="L499" s="189" t="inlineStr">
        <is>
          <t>Offline</t>
        </is>
      </c>
      <c r="M499" s="189" t="n"/>
      <c r="N499" s="190" t="inlineStr">
        <is>
          <t>New hire batch training (OJT)</t>
        </is>
      </c>
      <c r="O499" s="190" t="n"/>
      <c r="P499" s="190" t="n"/>
      <c r="Q499" s="191" t="n">
        <v>4</v>
      </c>
      <c r="R499" s="19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89" t="inlineStr">
        <is>
          <t>September 2026</t>
        </is>
      </c>
      <c r="C500" s="190" t="inlineStr">
        <is>
          <t>Support Training</t>
        </is>
      </c>
      <c r="D500" s="190" t="n"/>
      <c r="E500" s="190" t="inlineStr">
        <is>
          <t>New hire batch training (OJT)</t>
        </is>
      </c>
      <c r="F500" s="190" t="n"/>
      <c r="G500" s="189" t="inlineStr">
        <is>
          <t>2026-09-11</t>
        </is>
      </c>
      <c r="H500" s="189" t="inlineStr">
        <is>
          <t>—</t>
        </is>
      </c>
      <c r="I500" s="189" t="n"/>
      <c r="J500" s="190" t="inlineStr">
        <is>
          <t>Girish A</t>
        </is>
      </c>
      <c r="K500" s="190" t="n"/>
      <c r="L500" s="189" t="inlineStr">
        <is>
          <t>Offline</t>
        </is>
      </c>
      <c r="M500" s="189" t="n"/>
      <c r="N500" s="190" t="inlineStr">
        <is>
          <t>New hire batch training (OJT)</t>
        </is>
      </c>
      <c r="O500" s="190" t="n"/>
      <c r="P500" s="190" t="n"/>
      <c r="Q500" s="191" t="n">
        <v>4</v>
      </c>
      <c r="R500" s="19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89" t="inlineStr">
        <is>
          <t>September 2026</t>
        </is>
      </c>
      <c r="C501" s="190" t="inlineStr">
        <is>
          <t>Other</t>
        </is>
      </c>
      <c r="D501" s="190" t="n"/>
      <c r="E501" s="190" t="inlineStr">
        <is>
          <t>QIP Agent feedback</t>
        </is>
      </c>
      <c r="F501" s="190" t="n"/>
      <c r="G501" s="189" t="inlineStr">
        <is>
          <t>2026-09-08</t>
        </is>
      </c>
      <c r="H501" s="189" t="inlineStr">
        <is>
          <t>—</t>
        </is>
      </c>
      <c r="I501" s="189" t="n"/>
      <c r="J501" s="190" t="inlineStr">
        <is>
          <t>Girish A</t>
        </is>
      </c>
      <c r="K501" s="190" t="n"/>
      <c r="L501" s="189" t="inlineStr">
        <is>
          <t>Online</t>
        </is>
      </c>
      <c r="M501" s="189" t="n"/>
      <c r="N501" s="190" t="inlineStr">
        <is>
          <t>QIP Agent feedback</t>
        </is>
      </c>
      <c r="O501" s="190" t="n"/>
      <c r="P501" s="190" t="n"/>
      <c r="Q501" s="191" t="n">
        <v>2</v>
      </c>
      <c r="R501" s="19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89" t="inlineStr">
        <is>
          <t>September 2026</t>
        </is>
      </c>
      <c r="C502" s="190" t="inlineStr">
        <is>
          <t>Other</t>
        </is>
      </c>
      <c r="D502" s="190" t="n"/>
      <c r="E502" s="190" t="inlineStr">
        <is>
          <t>QIP Agent feedback</t>
        </is>
      </c>
      <c r="F502" s="190" t="n"/>
      <c r="G502" s="189" t="inlineStr">
        <is>
          <t>2026-09-10</t>
        </is>
      </c>
      <c r="H502" s="189" t="inlineStr">
        <is>
          <t>—</t>
        </is>
      </c>
      <c r="I502" s="189" t="n"/>
      <c r="J502" s="190" t="inlineStr">
        <is>
          <t>Girish A</t>
        </is>
      </c>
      <c r="K502" s="190" t="n"/>
      <c r="L502" s="189" t="inlineStr">
        <is>
          <t>Online</t>
        </is>
      </c>
      <c r="M502" s="189" t="n"/>
      <c r="N502" s="190" t="inlineStr">
        <is>
          <t>QIP Agent feedback</t>
        </is>
      </c>
      <c r="O502" s="190" t="n"/>
      <c r="P502" s="190" t="n"/>
      <c r="Q502" s="191" t="n">
        <v>1</v>
      </c>
      <c r="R502" s="19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89" t="inlineStr">
        <is>
          <t>September 2026</t>
        </is>
      </c>
      <c r="C503" s="190" t="inlineStr">
        <is>
          <t>Other</t>
        </is>
      </c>
      <c r="D503" s="190" t="n"/>
      <c r="E503" s="190" t="inlineStr">
        <is>
          <t>QIP Agent feedback</t>
        </is>
      </c>
      <c r="F503" s="190" t="n"/>
      <c r="G503" s="189" t="inlineStr">
        <is>
          <t>2026-09-15</t>
        </is>
      </c>
      <c r="H503" s="189" t="inlineStr">
        <is>
          <t>—</t>
        </is>
      </c>
      <c r="I503" s="189" t="n"/>
      <c r="J503" s="190" t="inlineStr">
        <is>
          <t>Girish A</t>
        </is>
      </c>
      <c r="K503" s="190" t="n"/>
      <c r="L503" s="189" t="inlineStr">
        <is>
          <t>Online</t>
        </is>
      </c>
      <c r="M503" s="189" t="n"/>
      <c r="N503" s="190" t="inlineStr">
        <is>
          <t>QIP Agent feedback</t>
        </is>
      </c>
      <c r="O503" s="190" t="n"/>
      <c r="P503" s="190" t="n"/>
      <c r="Q503" s="191" t="n">
        <v>1</v>
      </c>
      <c r="R503" s="19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89" t="inlineStr">
        <is>
          <t>September 2026</t>
        </is>
      </c>
      <c r="C504" s="190" t="inlineStr">
        <is>
          <t>Other</t>
        </is>
      </c>
      <c r="D504" s="190" t="n"/>
      <c r="E504" s="190" t="inlineStr">
        <is>
          <t>QIP Agent feedback</t>
        </is>
      </c>
      <c r="F504" s="190" t="n"/>
      <c r="G504" s="189" t="inlineStr">
        <is>
          <t>2026-09-16</t>
        </is>
      </c>
      <c r="H504" s="189" t="inlineStr">
        <is>
          <t>—</t>
        </is>
      </c>
      <c r="I504" s="189" t="n"/>
      <c r="J504" s="190" t="inlineStr">
        <is>
          <t>Girish A</t>
        </is>
      </c>
      <c r="K504" s="190" t="n"/>
      <c r="L504" s="189" t="inlineStr">
        <is>
          <t>Online</t>
        </is>
      </c>
      <c r="M504" s="189" t="n"/>
      <c r="N504" s="190" t="inlineStr">
        <is>
          <t>QIP Agent feedback</t>
        </is>
      </c>
      <c r="O504" s="190" t="n"/>
      <c r="P504" s="190" t="n"/>
      <c r="Q504" s="191" t="n">
        <v>1</v>
      </c>
      <c r="R504" s="19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89" t="inlineStr">
        <is>
          <t>September 2026</t>
        </is>
      </c>
      <c r="C505" s="190" t="inlineStr">
        <is>
          <t>Support Training</t>
        </is>
      </c>
      <c r="D505" s="190" t="n"/>
      <c r="E505" s="190" t="inlineStr">
        <is>
          <t>New hire batch training (OJT)</t>
        </is>
      </c>
      <c r="F505" s="190" t="n"/>
      <c r="G505" s="189" t="inlineStr">
        <is>
          <t>2026-09-14</t>
        </is>
      </c>
      <c r="H505" s="189" t="inlineStr">
        <is>
          <t>—</t>
        </is>
      </c>
      <c r="I505" s="189" t="n"/>
      <c r="J505" s="190" t="inlineStr">
        <is>
          <t>Girish A</t>
        </is>
      </c>
      <c r="K505" s="190" t="n"/>
      <c r="L505" s="189" t="inlineStr">
        <is>
          <t>Offline</t>
        </is>
      </c>
      <c r="M505" s="189" t="n"/>
      <c r="N505" s="190" t="inlineStr">
        <is>
          <t>New hire batch training (OJT)</t>
        </is>
      </c>
      <c r="O505" s="190" t="n"/>
      <c r="P505" s="190" t="n"/>
      <c r="Q505" s="191" t="n">
        <v>6</v>
      </c>
      <c r="R505" s="19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89" t="inlineStr">
        <is>
          <t>September 2026</t>
        </is>
      </c>
      <c r="C506" s="190" t="inlineStr">
        <is>
          <t>Support Training</t>
        </is>
      </c>
      <c r="D506" s="190" t="n"/>
      <c r="E506" s="190" t="inlineStr">
        <is>
          <t>New hire batch training (OJT)</t>
        </is>
      </c>
      <c r="F506" s="190" t="n"/>
      <c r="G506" s="189" t="inlineStr">
        <is>
          <t>2026-09-15</t>
        </is>
      </c>
      <c r="H506" s="189" t="inlineStr">
        <is>
          <t>—</t>
        </is>
      </c>
      <c r="I506" s="189" t="n"/>
      <c r="J506" s="190" t="inlineStr">
        <is>
          <t>Girish A</t>
        </is>
      </c>
      <c r="K506" s="190" t="n"/>
      <c r="L506" s="189" t="inlineStr">
        <is>
          <t>Online</t>
        </is>
      </c>
      <c r="M506" s="189" t="n"/>
      <c r="N506" s="190" t="inlineStr">
        <is>
          <t>New hire batch training (OJT)</t>
        </is>
      </c>
      <c r="O506" s="190" t="n"/>
      <c r="P506" s="190" t="n"/>
      <c r="Q506" s="191" t="n">
        <v>5</v>
      </c>
      <c r="R506" s="19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89" t="inlineStr">
        <is>
          <t>September 2026</t>
        </is>
      </c>
      <c r="C507" s="190" t="inlineStr">
        <is>
          <t>Support Training</t>
        </is>
      </c>
      <c r="D507" s="190" t="n"/>
      <c r="E507" s="190" t="inlineStr">
        <is>
          <t>New hire batch training (OJT)</t>
        </is>
      </c>
      <c r="F507" s="190" t="n"/>
      <c r="G507" s="189" t="inlineStr">
        <is>
          <t>2026-09-18</t>
        </is>
      </c>
      <c r="H507" s="189" t="inlineStr">
        <is>
          <t>—</t>
        </is>
      </c>
      <c r="I507" s="189" t="n"/>
      <c r="J507" s="190" t="inlineStr">
        <is>
          <t>Girish A</t>
        </is>
      </c>
      <c r="K507" s="190" t="n"/>
      <c r="L507" s="189" t="inlineStr">
        <is>
          <t>Offline</t>
        </is>
      </c>
      <c r="M507" s="189" t="n"/>
      <c r="N507" s="190" t="inlineStr">
        <is>
          <t>New hire batch training (OJT)</t>
        </is>
      </c>
      <c r="O507" s="190" t="n"/>
      <c r="P507" s="190" t="n"/>
      <c r="Q507" s="191" t="n">
        <v>6</v>
      </c>
      <c r="R507" s="19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89" t="inlineStr">
        <is>
          <t>September 2026</t>
        </is>
      </c>
      <c r="C508" s="190" t="inlineStr">
        <is>
          <t>Support Training</t>
        </is>
      </c>
      <c r="D508" s="190" t="n"/>
      <c r="E508" s="190" t="inlineStr">
        <is>
          <t>New hire batch training (OJT)</t>
        </is>
      </c>
      <c r="F508" s="190" t="n"/>
      <c r="G508" s="189" t="inlineStr">
        <is>
          <t>2026-09-19</t>
        </is>
      </c>
      <c r="H508" s="189" t="inlineStr">
        <is>
          <t>—</t>
        </is>
      </c>
      <c r="I508" s="189" t="n"/>
      <c r="J508" s="190" t="inlineStr">
        <is>
          <t>Girish A</t>
        </is>
      </c>
      <c r="K508" s="190" t="n"/>
      <c r="L508" s="189" t="inlineStr">
        <is>
          <t>Online</t>
        </is>
      </c>
      <c r="M508" s="189" t="n"/>
      <c r="N508" s="190" t="inlineStr">
        <is>
          <t>New hire batch training (OJT)</t>
        </is>
      </c>
      <c r="O508" s="190" t="n"/>
      <c r="P508" s="190" t="n"/>
      <c r="Q508" s="191" t="n">
        <v>4</v>
      </c>
      <c r="R508" s="19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89" t="inlineStr">
        <is>
          <t>September 2026</t>
        </is>
      </c>
      <c r="C509" s="190" t="inlineStr">
        <is>
          <t>Support Training</t>
        </is>
      </c>
      <c r="D509" s="190" t="n"/>
      <c r="E509" s="190" t="inlineStr">
        <is>
          <t>New hire batch training (OJT)</t>
        </is>
      </c>
      <c r="F509" s="190" t="n"/>
      <c r="G509" s="189" t="inlineStr">
        <is>
          <t>2026-09-17</t>
        </is>
      </c>
      <c r="H509" s="189" t="inlineStr">
        <is>
          <t>—</t>
        </is>
      </c>
      <c r="I509" s="189" t="n"/>
      <c r="J509" s="190" t="inlineStr">
        <is>
          <t>Girish A</t>
        </is>
      </c>
      <c r="K509" s="190" t="n"/>
      <c r="L509" s="189" t="inlineStr">
        <is>
          <t>Offline</t>
        </is>
      </c>
      <c r="M509" s="189" t="n"/>
      <c r="N509" s="190" t="inlineStr">
        <is>
          <t>New hire batch training (OJT)</t>
        </is>
      </c>
      <c r="O509" s="190" t="n"/>
      <c r="P509" s="190" t="n"/>
      <c r="Q509" s="191" t="n">
        <v>3</v>
      </c>
      <c r="R509" s="19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89" t="inlineStr">
        <is>
          <t>September 2026</t>
        </is>
      </c>
      <c r="C510" s="190" t="inlineStr">
        <is>
          <t>Assessment</t>
        </is>
      </c>
      <c r="D510" s="190" t="n"/>
      <c r="E510" s="190" t="inlineStr">
        <is>
          <t>QIP Mock Call session</t>
        </is>
      </c>
      <c r="F510" s="190" t="n"/>
      <c r="G510" s="189" t="inlineStr">
        <is>
          <t>2026-09-17</t>
        </is>
      </c>
      <c r="H510" s="189" t="inlineStr">
        <is>
          <t>—</t>
        </is>
      </c>
      <c r="I510" s="189" t="n"/>
      <c r="J510" s="190" t="inlineStr">
        <is>
          <t>Girish A</t>
        </is>
      </c>
      <c r="K510" s="190" t="n"/>
      <c r="L510" s="189" t="inlineStr">
        <is>
          <t>Online</t>
        </is>
      </c>
      <c r="M510" s="189" t="n"/>
      <c r="N510" s="190" t="inlineStr">
        <is>
          <t>QIP Mock Call session</t>
        </is>
      </c>
      <c r="O510" s="190" t="n"/>
      <c r="P510" s="190" t="n"/>
      <c r="Q510" s="191" t="n">
        <v>1</v>
      </c>
      <c r="R510" s="19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89" t="inlineStr">
        <is>
          <t>September 2026</t>
        </is>
      </c>
      <c r="C511" s="190" t="inlineStr">
        <is>
          <t>Support Training</t>
        </is>
      </c>
      <c r="D511" s="190" t="n"/>
      <c r="E511" s="190" t="inlineStr">
        <is>
          <t>New hire batch training (OJT)</t>
        </is>
      </c>
      <c r="F511" s="190" t="n"/>
      <c r="G511" s="189" t="inlineStr">
        <is>
          <t>2026-09-21</t>
        </is>
      </c>
      <c r="H511" s="189" t="inlineStr">
        <is>
          <t>—</t>
        </is>
      </c>
      <c r="I511" s="189" t="n"/>
      <c r="J511" s="190" t="inlineStr">
        <is>
          <t>Girish A</t>
        </is>
      </c>
      <c r="K511" s="190" t="n"/>
      <c r="L511" s="189" t="inlineStr">
        <is>
          <t>Offline</t>
        </is>
      </c>
      <c r="M511" s="189" t="n"/>
      <c r="N511" s="190" t="inlineStr">
        <is>
          <t>New hire batch training (OJT)</t>
        </is>
      </c>
      <c r="O511" s="190" t="n"/>
      <c r="P511" s="190" t="n"/>
      <c r="Q511" s="191" t="n">
        <v>6</v>
      </c>
      <c r="R511" s="19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89" t="inlineStr">
        <is>
          <t>September 2026</t>
        </is>
      </c>
      <c r="C512" s="190" t="inlineStr">
        <is>
          <t>Support Training</t>
        </is>
      </c>
      <c r="D512" s="190" t="n"/>
      <c r="E512" s="190" t="inlineStr">
        <is>
          <t>New hire batch training (OJT)</t>
        </is>
      </c>
      <c r="F512" s="190" t="n"/>
      <c r="G512" s="189" t="inlineStr">
        <is>
          <t>2026-09-22</t>
        </is>
      </c>
      <c r="H512" s="189" t="inlineStr">
        <is>
          <t>—</t>
        </is>
      </c>
      <c r="I512" s="189" t="n"/>
      <c r="J512" s="190" t="inlineStr">
        <is>
          <t>Girish A</t>
        </is>
      </c>
      <c r="K512" s="190" t="n"/>
      <c r="L512" s="189" t="inlineStr">
        <is>
          <t>Offline</t>
        </is>
      </c>
      <c r="M512" s="189" t="n"/>
      <c r="N512" s="190" t="inlineStr">
        <is>
          <t>New hire batch training (OJT)</t>
        </is>
      </c>
      <c r="O512" s="190" t="n"/>
      <c r="P512" s="190" t="n"/>
      <c r="Q512" s="191" t="n">
        <v>6</v>
      </c>
      <c r="R512" s="19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89" t="inlineStr">
        <is>
          <t>September 2026</t>
        </is>
      </c>
      <c r="C513" s="190" t="inlineStr">
        <is>
          <t>Support Training</t>
        </is>
      </c>
      <c r="D513" s="190" t="n"/>
      <c r="E513" s="190" t="inlineStr">
        <is>
          <t>New hire batch training (OJT)</t>
        </is>
      </c>
      <c r="F513" s="190" t="n"/>
      <c r="G513" s="189" t="inlineStr">
        <is>
          <t>2026-09-23</t>
        </is>
      </c>
      <c r="H513" s="189" t="inlineStr">
        <is>
          <t>—</t>
        </is>
      </c>
      <c r="I513" s="189" t="n"/>
      <c r="J513" s="190" t="inlineStr">
        <is>
          <t>Girish A</t>
        </is>
      </c>
      <c r="K513" s="190" t="n"/>
      <c r="L513" s="189" t="inlineStr">
        <is>
          <t>Offline</t>
        </is>
      </c>
      <c r="M513" s="189" t="n"/>
      <c r="N513" s="190" t="inlineStr">
        <is>
          <t>New hire batch training (OJT)</t>
        </is>
      </c>
      <c r="O513" s="190" t="n"/>
      <c r="P513" s="190" t="n"/>
      <c r="Q513" s="191" t="n">
        <v>6</v>
      </c>
      <c r="R513" s="19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89" t="inlineStr">
        <is>
          <t>September 2026</t>
        </is>
      </c>
      <c r="C514" s="190" t="inlineStr">
        <is>
          <t>Support Training</t>
        </is>
      </c>
      <c r="D514" s="190" t="n"/>
      <c r="E514" s="190" t="inlineStr">
        <is>
          <t>New hire batch training (OJT)</t>
        </is>
      </c>
      <c r="F514" s="190" t="n"/>
      <c r="G514" s="189" t="inlineStr">
        <is>
          <t>2026-09-24</t>
        </is>
      </c>
      <c r="H514" s="189" t="inlineStr">
        <is>
          <t>—</t>
        </is>
      </c>
      <c r="I514" s="189" t="n"/>
      <c r="J514" s="190" t="inlineStr">
        <is>
          <t>Girish A</t>
        </is>
      </c>
      <c r="K514" s="190" t="n"/>
      <c r="L514" s="189" t="inlineStr">
        <is>
          <t>Offline</t>
        </is>
      </c>
      <c r="M514" s="189" t="n"/>
      <c r="N514" s="190" t="inlineStr">
        <is>
          <t>New hire batch training (OJT)</t>
        </is>
      </c>
      <c r="O514" s="190" t="n"/>
      <c r="P514" s="190" t="n"/>
      <c r="Q514" s="191" t="n">
        <v>6</v>
      </c>
      <c r="R514" s="19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89" t="inlineStr">
        <is>
          <t>September 2026</t>
        </is>
      </c>
      <c r="C515" s="190" t="inlineStr">
        <is>
          <t>Support Training</t>
        </is>
      </c>
      <c r="D515" s="190" t="n"/>
      <c r="E515" s="190" t="inlineStr">
        <is>
          <t>New hire batch training (OJT)</t>
        </is>
      </c>
      <c r="F515" s="190" t="n"/>
      <c r="G515" s="189" t="inlineStr">
        <is>
          <t>2026-09-25</t>
        </is>
      </c>
      <c r="H515" s="189" t="inlineStr">
        <is>
          <t>—</t>
        </is>
      </c>
      <c r="I515" s="189" t="n"/>
      <c r="J515" s="190" t="inlineStr">
        <is>
          <t>Girish A</t>
        </is>
      </c>
      <c r="K515" s="190" t="n"/>
      <c r="L515" s="189" t="inlineStr">
        <is>
          <t>Offline</t>
        </is>
      </c>
      <c r="M515" s="189" t="n"/>
      <c r="N515" s="190" t="inlineStr">
        <is>
          <t>New hire batch training (OJT)</t>
        </is>
      </c>
      <c r="O515" s="190" t="n"/>
      <c r="P515" s="190" t="n"/>
      <c r="Q515" s="191" t="n">
        <v>6</v>
      </c>
      <c r="R515" s="19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89" t="inlineStr">
        <is>
          <t>September 2026</t>
        </is>
      </c>
      <c r="C516" s="190" t="inlineStr">
        <is>
          <t>Support Training</t>
        </is>
      </c>
      <c r="D516" s="190" t="n"/>
      <c r="E516" s="190" t="inlineStr">
        <is>
          <t>New hire batch training (OJT)</t>
        </is>
      </c>
      <c r="F516" s="190" t="n"/>
      <c r="G516" s="189" t="inlineStr">
        <is>
          <t>2026-09-28</t>
        </is>
      </c>
      <c r="H516" s="189" t="inlineStr">
        <is>
          <t>—</t>
        </is>
      </c>
      <c r="I516" s="189" t="n"/>
      <c r="J516" s="190" t="inlineStr">
        <is>
          <t>Girish A</t>
        </is>
      </c>
      <c r="K516" s="190" t="n"/>
      <c r="L516" s="189" t="inlineStr">
        <is>
          <t>Offline</t>
        </is>
      </c>
      <c r="M516" s="189" t="n"/>
      <c r="N516" s="190" t="inlineStr">
        <is>
          <t>New hire batch training (OJT)</t>
        </is>
      </c>
      <c r="O516" s="190" t="n"/>
      <c r="P516" s="190" t="n"/>
      <c r="Q516" s="191" t="n">
        <v>6</v>
      </c>
      <c r="R516" s="19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89" t="inlineStr">
        <is>
          <t>September 2026</t>
        </is>
      </c>
      <c r="C517" s="190" t="inlineStr">
        <is>
          <t>Support Training</t>
        </is>
      </c>
      <c r="D517" s="190" t="n"/>
      <c r="E517" s="190" t="inlineStr">
        <is>
          <t>New hire batch training (OJT)</t>
        </is>
      </c>
      <c r="F517" s="190" t="n"/>
      <c r="G517" s="189" t="inlineStr">
        <is>
          <t>2026-09-29</t>
        </is>
      </c>
      <c r="H517" s="189" t="inlineStr">
        <is>
          <t>—</t>
        </is>
      </c>
      <c r="I517" s="189" t="n"/>
      <c r="J517" s="190" t="inlineStr">
        <is>
          <t>Girish A</t>
        </is>
      </c>
      <c r="K517" s="190" t="n"/>
      <c r="L517" s="189" t="inlineStr">
        <is>
          <t>Offline</t>
        </is>
      </c>
      <c r="M517" s="189" t="n"/>
      <c r="N517" s="190" t="inlineStr">
        <is>
          <t>New hire batch training (OJT)</t>
        </is>
      </c>
      <c r="O517" s="190" t="n"/>
      <c r="P517" s="190" t="n"/>
      <c r="Q517" s="191" t="n">
        <v>6</v>
      </c>
      <c r="R517" s="19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89" t="inlineStr">
        <is>
          <t>September 2026</t>
        </is>
      </c>
      <c r="C518" s="190" t="inlineStr">
        <is>
          <t>Support Training</t>
        </is>
      </c>
      <c r="D518" s="190" t="n"/>
      <c r="E518" s="190" t="inlineStr">
        <is>
          <t>New hire batch training (OJT)</t>
        </is>
      </c>
      <c r="F518" s="190" t="n"/>
      <c r="G518" s="189" t="inlineStr">
        <is>
          <t>2026-09-30</t>
        </is>
      </c>
      <c r="H518" s="189" t="inlineStr">
        <is>
          <t>—</t>
        </is>
      </c>
      <c r="I518" s="189" t="n"/>
      <c r="J518" s="190" t="inlineStr">
        <is>
          <t>Girish A</t>
        </is>
      </c>
      <c r="K518" s="190" t="n"/>
      <c r="L518" s="189" t="inlineStr">
        <is>
          <t>Offline</t>
        </is>
      </c>
      <c r="M518" s="189" t="n"/>
      <c r="N518" s="190" t="inlineStr">
        <is>
          <t>New hire batch training (OJT)</t>
        </is>
      </c>
      <c r="O518" s="190" t="n"/>
      <c r="P518" s="190" t="n"/>
      <c r="Q518" s="191" t="n">
        <v>6</v>
      </c>
      <c r="R518" s="19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89" t="inlineStr">
        <is>
          <t>September 2026</t>
        </is>
      </c>
      <c r="C519" s="190" t="inlineStr">
        <is>
          <t>Support Training</t>
        </is>
      </c>
      <c r="D519" s="190" t="n"/>
      <c r="E519" s="190" t="inlineStr">
        <is>
          <t>QA feedback training Module preparation</t>
        </is>
      </c>
      <c r="F519" s="190" t="n"/>
      <c r="G519" s="189" t="inlineStr">
        <is>
          <t>2026-09-21</t>
        </is>
      </c>
      <c r="H519" s="189" t="inlineStr">
        <is>
          <t>—</t>
        </is>
      </c>
      <c r="I519" s="189" t="n"/>
      <c r="J519" s="190" t="inlineStr">
        <is>
          <t>Freeda Reshma Dsouza</t>
        </is>
      </c>
      <c r="K519" s="190" t="n"/>
      <c r="L519" s="189" t="inlineStr">
        <is>
          <t>Online</t>
        </is>
      </c>
      <c r="M519" s="189" t="n"/>
      <c r="N519" s="190" t="inlineStr">
        <is>
          <t>QA feedback training Module preparation</t>
        </is>
      </c>
      <c r="O519" s="190" t="n"/>
      <c r="P519" s="190" t="n"/>
      <c r="Q519" s="191" t="n">
        <v>4</v>
      </c>
      <c r="R519" s="19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89" t="inlineStr">
        <is>
          <t>September 2026</t>
        </is>
      </c>
      <c r="C520" s="190" t="inlineStr">
        <is>
          <t>Support Training</t>
        </is>
      </c>
      <c r="D520" s="190" t="n"/>
      <c r="E520" s="190" t="inlineStr">
        <is>
          <t>QA feedback training Module preparation</t>
        </is>
      </c>
      <c r="F520" s="190" t="n"/>
      <c r="G520" s="189" t="inlineStr">
        <is>
          <t>2026-09-22</t>
        </is>
      </c>
      <c r="H520" s="189" t="inlineStr">
        <is>
          <t>—</t>
        </is>
      </c>
      <c r="I520" s="189" t="n"/>
      <c r="J520" s="190" t="inlineStr">
        <is>
          <t>Freeda Reshma Dsouza</t>
        </is>
      </c>
      <c r="K520" s="190" t="n"/>
      <c r="L520" s="189" t="inlineStr">
        <is>
          <t>Online</t>
        </is>
      </c>
      <c r="M520" s="189" t="n"/>
      <c r="N520" s="190" t="inlineStr">
        <is>
          <t>QA feedback training Module preparation</t>
        </is>
      </c>
      <c r="O520" s="190" t="n"/>
      <c r="P520" s="190" t="n"/>
      <c r="Q520" s="191" t="n">
        <v>2</v>
      </c>
      <c r="R520" s="19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89" t="inlineStr">
        <is>
          <t>September 2026</t>
        </is>
      </c>
      <c r="C521" s="190" t="inlineStr">
        <is>
          <t>Support Training</t>
        </is>
      </c>
      <c r="D521" s="190" t="n"/>
      <c r="E521" s="190" t="inlineStr">
        <is>
          <t>Managers 360 assessment testing</t>
        </is>
      </c>
      <c r="F521" s="190" t="n"/>
      <c r="G521" s="189" t="inlineStr">
        <is>
          <t>2026-09-25</t>
        </is>
      </c>
      <c r="H521" s="189" t="inlineStr">
        <is>
          <t>—</t>
        </is>
      </c>
      <c r="I521" s="189" t="n"/>
      <c r="J521" s="190" t="inlineStr">
        <is>
          <t>Freeda Reshma Dsouza</t>
        </is>
      </c>
      <c r="K521" s="190" t="n"/>
      <c r="L521" s="189" t="inlineStr">
        <is>
          <t>Online</t>
        </is>
      </c>
      <c r="M521" s="189" t="n"/>
      <c r="N521" s="190" t="inlineStr">
        <is>
          <t>Managers 360 assessment testing</t>
        </is>
      </c>
      <c r="O521" s="190" t="n"/>
      <c r="P521" s="190" t="n"/>
      <c r="Q521" s="191" t="n">
        <v>6.5</v>
      </c>
      <c r="R521" s="19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89" t="inlineStr">
        <is>
          <t>September 2026</t>
        </is>
      </c>
      <c r="C522" s="190" t="inlineStr">
        <is>
          <t>Support Training</t>
        </is>
      </c>
      <c r="D522" s="190" t="n"/>
      <c r="E522" s="190" t="inlineStr">
        <is>
          <t>AML &amp; unsolicited SMS &amp; tips session</t>
        </is>
      </c>
      <c r="F522" s="190" t="n"/>
      <c r="G522" s="189" t="inlineStr">
        <is>
          <t>2026-09-16</t>
        </is>
      </c>
      <c r="H522" s="189" t="inlineStr">
        <is>
          <t>—</t>
        </is>
      </c>
      <c r="I522" s="189" t="n"/>
      <c r="J522" s="190" t="inlineStr">
        <is>
          <t>Harish Bhat</t>
        </is>
      </c>
      <c r="K522" s="190" t="n"/>
      <c r="L522" s="189" t="inlineStr">
        <is>
          <t>Online</t>
        </is>
      </c>
      <c r="M522" s="189" t="n"/>
      <c r="N522" s="190" t="inlineStr">
        <is>
          <t>AML &amp; unsolicited SMS &amp; tips session</t>
        </is>
      </c>
      <c r="O522" s="190" t="n"/>
      <c r="P522" s="190" t="n"/>
      <c r="Q522" s="191" t="n">
        <v>1</v>
      </c>
      <c r="R522" s="19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89" t="inlineStr">
        <is>
          <t>September 2026</t>
        </is>
      </c>
      <c r="C523" s="190" t="inlineStr">
        <is>
          <t>Support Training</t>
        </is>
      </c>
      <c r="D523" s="190" t="n"/>
      <c r="E523" s="190" t="inlineStr">
        <is>
          <t>3L Session</t>
        </is>
      </c>
      <c r="F523" s="190" t="n"/>
      <c r="G523" s="189" t="inlineStr">
        <is>
          <t>2026-09-28</t>
        </is>
      </c>
      <c r="H523" s="189" t="inlineStr">
        <is>
          <t>—</t>
        </is>
      </c>
      <c r="I523" s="189" t="n"/>
      <c r="J523" s="190" t="inlineStr">
        <is>
          <t>Harish Bhat</t>
        </is>
      </c>
      <c r="K523" s="190" t="n"/>
      <c r="L523" s="189" t="inlineStr">
        <is>
          <t>Online</t>
        </is>
      </c>
      <c r="M523" s="189" t="n"/>
      <c r="N523" s="190" t="inlineStr">
        <is>
          <t>3L Session</t>
        </is>
      </c>
      <c r="O523" s="190" t="n"/>
      <c r="P523" s="190" t="n"/>
      <c r="Q523" s="191" t="n">
        <v>1</v>
      </c>
      <c r="R523" s="19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89" t="inlineStr">
        <is>
          <t>September 2026</t>
        </is>
      </c>
      <c r="C524" s="190" t="inlineStr">
        <is>
          <t>Assessment</t>
        </is>
      </c>
      <c r="D524" s="190" t="n"/>
      <c r="E524" s="190" t="inlineStr">
        <is>
          <t>QIP Final Assessment</t>
        </is>
      </c>
      <c r="F524" s="190" t="n"/>
      <c r="G524" s="189" t="inlineStr">
        <is>
          <t>2026-09-04</t>
        </is>
      </c>
      <c r="H524" s="189" t="inlineStr">
        <is>
          <t>—</t>
        </is>
      </c>
      <c r="I524" s="189" t="n"/>
      <c r="J524" s="190" t="inlineStr">
        <is>
          <t>Girish A</t>
        </is>
      </c>
      <c r="K524" s="190" t="n"/>
      <c r="L524" s="189" t="inlineStr">
        <is>
          <t>Online</t>
        </is>
      </c>
      <c r="M524" s="189" t="n"/>
      <c r="N524" s="190" t="inlineStr">
        <is>
          <t>QIP Final Assessment</t>
        </is>
      </c>
      <c r="O524" s="190" t="n"/>
      <c r="P524" s="190" t="n"/>
      <c r="Q524" s="191" t="n">
        <v>1</v>
      </c>
      <c r="R524" s="19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89" t="inlineStr">
        <is>
          <t>September 2026</t>
        </is>
      </c>
      <c r="C525" s="190" t="inlineStr">
        <is>
          <t>Support Training</t>
        </is>
      </c>
      <c r="D525" s="190" t="n"/>
      <c r="E525" s="190" t="inlineStr">
        <is>
          <t>New Hire batch training</t>
        </is>
      </c>
      <c r="F525" s="190" t="n"/>
      <c r="G525" s="189" t="inlineStr">
        <is>
          <t>2026-09-04</t>
        </is>
      </c>
      <c r="H525" s="189" t="inlineStr">
        <is>
          <t>—</t>
        </is>
      </c>
      <c r="I525" s="189" t="n"/>
      <c r="J525" s="190" t="inlineStr">
        <is>
          <t>Girish A</t>
        </is>
      </c>
      <c r="K525" s="190" t="n"/>
      <c r="L525" s="189" t="inlineStr">
        <is>
          <t>Offline</t>
        </is>
      </c>
      <c r="M525" s="189" t="n"/>
      <c r="N525" s="190" t="inlineStr">
        <is>
          <t>New Hire batch training</t>
        </is>
      </c>
      <c r="O525" s="190" t="n"/>
      <c r="P525" s="190" t="n"/>
      <c r="Q525" s="191" t="n">
        <v>5</v>
      </c>
      <c r="R525" s="19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89" t="inlineStr">
        <is>
          <t>September 2026</t>
        </is>
      </c>
      <c r="C526" s="190" t="inlineStr">
        <is>
          <t>Other</t>
        </is>
      </c>
      <c r="D526" s="190" t="n"/>
      <c r="E526" s="190" t="inlineStr">
        <is>
          <t>varsity tickets</t>
        </is>
      </c>
      <c r="F526" s="190" t="n"/>
      <c r="G526" s="189" t="inlineStr">
        <is>
          <t>2026-09-01</t>
        </is>
      </c>
      <c r="H526" s="189" t="inlineStr">
        <is>
          <t>—</t>
        </is>
      </c>
      <c r="I526" s="189" t="n"/>
      <c r="J526" s="190" t="inlineStr">
        <is>
          <t>Harish Bhat</t>
        </is>
      </c>
      <c r="K526" s="190" t="n"/>
      <c r="L526" s="189" t="inlineStr">
        <is>
          <t>Online</t>
        </is>
      </c>
      <c r="M526" s="189" t="n"/>
      <c r="N526" s="190" t="inlineStr">
        <is>
          <t>varsity tickets</t>
        </is>
      </c>
      <c r="O526" s="190" t="n"/>
      <c r="P526" s="190" t="n"/>
      <c r="Q526" s="191" t="n">
        <v>0.15</v>
      </c>
      <c r="R526" s="19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89" t="inlineStr">
        <is>
          <t>September 2026</t>
        </is>
      </c>
      <c r="C527" s="190" t="inlineStr">
        <is>
          <t>Other</t>
        </is>
      </c>
      <c r="D527" s="190" t="n"/>
      <c r="E527" s="190" t="inlineStr">
        <is>
          <t>varsity tickets</t>
        </is>
      </c>
      <c r="F527" s="190" t="n"/>
      <c r="G527" s="189" t="inlineStr">
        <is>
          <t>2026-09-02</t>
        </is>
      </c>
      <c r="H527" s="189" t="inlineStr">
        <is>
          <t>—</t>
        </is>
      </c>
      <c r="I527" s="189" t="n"/>
      <c r="J527" s="190" t="inlineStr">
        <is>
          <t>Harish Bhat</t>
        </is>
      </c>
      <c r="K527" s="190" t="n"/>
      <c r="L527" s="189" t="inlineStr">
        <is>
          <t>Online</t>
        </is>
      </c>
      <c r="M527" s="189" t="n"/>
      <c r="N527" s="190" t="inlineStr">
        <is>
          <t>varsity tickets</t>
        </is>
      </c>
      <c r="O527" s="190" t="n"/>
      <c r="P527" s="190" t="n"/>
      <c r="Q527" s="191" t="n">
        <v>0.15</v>
      </c>
      <c r="R527" s="19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89" t="inlineStr">
        <is>
          <t>September 2026</t>
        </is>
      </c>
      <c r="C528" s="190" t="inlineStr">
        <is>
          <t>Other</t>
        </is>
      </c>
      <c r="D528" s="190" t="n"/>
      <c r="E528" s="190" t="inlineStr">
        <is>
          <t>varsity tickets</t>
        </is>
      </c>
      <c r="F528" s="190" t="n"/>
      <c r="G528" s="189" t="inlineStr">
        <is>
          <t>2026-09-03</t>
        </is>
      </c>
      <c r="H528" s="189" t="inlineStr">
        <is>
          <t>—</t>
        </is>
      </c>
      <c r="I528" s="189" t="n"/>
      <c r="J528" s="190" t="inlineStr">
        <is>
          <t>Harish Bhat</t>
        </is>
      </c>
      <c r="K528" s="190" t="n"/>
      <c r="L528" s="189" t="inlineStr">
        <is>
          <t>Online</t>
        </is>
      </c>
      <c r="M528" s="189" t="n"/>
      <c r="N528" s="190" t="inlineStr">
        <is>
          <t>varsity tickets</t>
        </is>
      </c>
      <c r="O528" s="190" t="n"/>
      <c r="P528" s="190" t="n"/>
      <c r="Q528" s="191" t="n">
        <v>0.15</v>
      </c>
      <c r="R528" s="19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89" t="inlineStr">
        <is>
          <t>September 2026</t>
        </is>
      </c>
      <c r="C529" s="190" t="inlineStr">
        <is>
          <t>Other</t>
        </is>
      </c>
      <c r="D529" s="190" t="n"/>
      <c r="E529" s="190" t="inlineStr">
        <is>
          <t>varsity tickets</t>
        </is>
      </c>
      <c r="F529" s="190" t="n"/>
      <c r="G529" s="189" t="inlineStr">
        <is>
          <t>2026-09-04</t>
        </is>
      </c>
      <c r="H529" s="189" t="inlineStr">
        <is>
          <t>—</t>
        </is>
      </c>
      <c r="I529" s="189" t="n"/>
      <c r="J529" s="190" t="inlineStr">
        <is>
          <t>Harish Bhat</t>
        </is>
      </c>
      <c r="K529" s="190" t="n"/>
      <c r="L529" s="189" t="inlineStr">
        <is>
          <t>Online</t>
        </is>
      </c>
      <c r="M529" s="189" t="n"/>
      <c r="N529" s="190" t="inlineStr">
        <is>
          <t>varsity tickets</t>
        </is>
      </c>
      <c r="O529" s="190" t="n"/>
      <c r="P529" s="190" t="n"/>
      <c r="Q529" s="191" t="n">
        <v>0.15</v>
      </c>
      <c r="R529" s="19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89" t="inlineStr">
        <is>
          <t>September 2026</t>
        </is>
      </c>
      <c r="C530" s="190" t="inlineStr">
        <is>
          <t>Other</t>
        </is>
      </c>
      <c r="D530" s="190" t="n"/>
      <c r="E530" s="190" t="inlineStr">
        <is>
          <t>varsity tickets</t>
        </is>
      </c>
      <c r="F530" s="190" t="n"/>
      <c r="G530" s="189" t="inlineStr">
        <is>
          <t>2026-09-07</t>
        </is>
      </c>
      <c r="H530" s="189" t="inlineStr">
        <is>
          <t>—</t>
        </is>
      </c>
      <c r="I530" s="189" t="n"/>
      <c r="J530" s="190" t="inlineStr">
        <is>
          <t>Harish Bhat</t>
        </is>
      </c>
      <c r="K530" s="190" t="n"/>
      <c r="L530" s="189" t="inlineStr">
        <is>
          <t>Online</t>
        </is>
      </c>
      <c r="M530" s="189" t="n"/>
      <c r="N530" s="190" t="inlineStr">
        <is>
          <t>varsity tickets</t>
        </is>
      </c>
      <c r="O530" s="190" t="n"/>
      <c r="P530" s="190" t="n"/>
      <c r="Q530" s="191" t="n">
        <v>0.15</v>
      </c>
      <c r="R530" s="19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89" t="inlineStr">
        <is>
          <t>September 2026</t>
        </is>
      </c>
      <c r="C531" s="190" t="inlineStr">
        <is>
          <t>Other</t>
        </is>
      </c>
      <c r="D531" s="190" t="n"/>
      <c r="E531" s="190" t="inlineStr">
        <is>
          <t>varsity tickets</t>
        </is>
      </c>
      <c r="F531" s="190" t="n"/>
      <c r="G531" s="189" t="inlineStr">
        <is>
          <t>2026-09-08</t>
        </is>
      </c>
      <c r="H531" s="189" t="inlineStr">
        <is>
          <t>—</t>
        </is>
      </c>
      <c r="I531" s="189" t="n"/>
      <c r="J531" s="190" t="inlineStr">
        <is>
          <t>Harish Bhat</t>
        </is>
      </c>
      <c r="K531" s="190" t="n"/>
      <c r="L531" s="189" t="inlineStr">
        <is>
          <t>Online</t>
        </is>
      </c>
      <c r="M531" s="189" t="n"/>
      <c r="N531" s="190" t="inlineStr">
        <is>
          <t>varsity tickets</t>
        </is>
      </c>
      <c r="O531" s="190" t="n"/>
      <c r="P531" s="190" t="n"/>
      <c r="Q531" s="191" t="n">
        <v>0.15</v>
      </c>
      <c r="R531" s="19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89" t="inlineStr">
        <is>
          <t>September 2026</t>
        </is>
      </c>
      <c r="C532" s="190" t="inlineStr">
        <is>
          <t>Other</t>
        </is>
      </c>
      <c r="D532" s="190" t="n"/>
      <c r="E532" s="190" t="inlineStr">
        <is>
          <t>varsity tickets</t>
        </is>
      </c>
      <c r="F532" s="190" t="n"/>
      <c r="G532" s="189" t="inlineStr">
        <is>
          <t>2026-09-09</t>
        </is>
      </c>
      <c r="H532" s="189" t="inlineStr">
        <is>
          <t>—</t>
        </is>
      </c>
      <c r="I532" s="189" t="n"/>
      <c r="J532" s="190" t="inlineStr">
        <is>
          <t>Harish Bhat</t>
        </is>
      </c>
      <c r="K532" s="190" t="n"/>
      <c r="L532" s="189" t="inlineStr">
        <is>
          <t>Online</t>
        </is>
      </c>
      <c r="M532" s="189" t="n"/>
      <c r="N532" s="190" t="inlineStr">
        <is>
          <t>varsity tickets</t>
        </is>
      </c>
      <c r="O532" s="190" t="n"/>
      <c r="P532" s="190" t="n"/>
      <c r="Q532" s="191" t="n">
        <v>0.15</v>
      </c>
      <c r="R532" s="19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89" t="inlineStr">
        <is>
          <t>September 2026</t>
        </is>
      </c>
      <c r="C533" s="190" t="inlineStr">
        <is>
          <t>Other</t>
        </is>
      </c>
      <c r="D533" s="190" t="n"/>
      <c r="E533" s="190" t="inlineStr">
        <is>
          <t>varsity tickets</t>
        </is>
      </c>
      <c r="F533" s="190" t="n"/>
      <c r="G533" s="189" t="inlineStr">
        <is>
          <t>2026-09-10</t>
        </is>
      </c>
      <c r="H533" s="189" t="inlineStr">
        <is>
          <t>—</t>
        </is>
      </c>
      <c r="I533" s="189" t="n"/>
      <c r="J533" s="190" t="inlineStr">
        <is>
          <t>Harish Bhat</t>
        </is>
      </c>
      <c r="K533" s="190" t="n"/>
      <c r="L533" s="189" t="inlineStr">
        <is>
          <t>Online</t>
        </is>
      </c>
      <c r="M533" s="189" t="n"/>
      <c r="N533" s="190" t="inlineStr">
        <is>
          <t>varsity tickets</t>
        </is>
      </c>
      <c r="O533" s="190" t="n"/>
      <c r="P533" s="190" t="n"/>
      <c r="Q533" s="191" t="n">
        <v>0.15</v>
      </c>
      <c r="R533" s="19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89" t="inlineStr">
        <is>
          <t>September 2026</t>
        </is>
      </c>
      <c r="C534" s="190" t="inlineStr">
        <is>
          <t>Other</t>
        </is>
      </c>
      <c r="D534" s="190" t="n"/>
      <c r="E534" s="190" t="inlineStr">
        <is>
          <t>varsity tickets</t>
        </is>
      </c>
      <c r="F534" s="190" t="n"/>
      <c r="G534" s="189" t="inlineStr">
        <is>
          <t>2026-09-11</t>
        </is>
      </c>
      <c r="H534" s="189" t="inlineStr">
        <is>
          <t>—</t>
        </is>
      </c>
      <c r="I534" s="189" t="n"/>
      <c r="J534" s="190" t="inlineStr">
        <is>
          <t>Harish Bhat</t>
        </is>
      </c>
      <c r="K534" s="190" t="n"/>
      <c r="L534" s="189" t="inlineStr">
        <is>
          <t>Online</t>
        </is>
      </c>
      <c r="M534" s="189" t="n"/>
      <c r="N534" s="190" t="inlineStr">
        <is>
          <t>varsity tickets</t>
        </is>
      </c>
      <c r="O534" s="190" t="n"/>
      <c r="P534" s="190" t="n"/>
      <c r="Q534" s="191" t="n">
        <v>0.15</v>
      </c>
      <c r="R534" s="19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89" t="inlineStr">
        <is>
          <t>September 2026</t>
        </is>
      </c>
      <c r="C535" s="190" t="inlineStr">
        <is>
          <t>Other</t>
        </is>
      </c>
      <c r="D535" s="190" t="n"/>
      <c r="E535" s="190" t="inlineStr">
        <is>
          <t>3L (Listen, Learn, Lead)</t>
        </is>
      </c>
      <c r="F535" s="190" t="n"/>
      <c r="G535" s="189" t="inlineStr">
        <is>
          <t>2026-09-28</t>
        </is>
      </c>
      <c r="H535" s="189" t="inlineStr">
        <is>
          <t>—</t>
        </is>
      </c>
      <c r="I535" s="189" t="n"/>
      <c r="J535" s="190" t="inlineStr">
        <is>
          <t>Girish A</t>
        </is>
      </c>
      <c r="K535" s="190" t="n"/>
      <c r="L535" s="189" t="inlineStr">
        <is>
          <t>Online</t>
        </is>
      </c>
      <c r="M535" s="189" t="n"/>
      <c r="N535" s="190" t="inlineStr">
        <is>
          <t>3L (Listen, Learn, Lead)</t>
        </is>
      </c>
      <c r="O535" s="190" t="n"/>
      <c r="P535" s="190" t="n"/>
      <c r="Q535" s="191" t="n">
        <v>0.45</v>
      </c>
      <c r="R535" s="19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89" t="inlineStr">
        <is>
          <t>September 2026</t>
        </is>
      </c>
      <c r="C536" s="190" t="inlineStr">
        <is>
          <t>Other</t>
        </is>
      </c>
      <c r="D536" s="190" t="n"/>
      <c r="E536" s="190" t="inlineStr">
        <is>
          <t>3L (Listen, Learn, Lead)</t>
        </is>
      </c>
      <c r="F536" s="190" t="n"/>
      <c r="G536" s="189" t="inlineStr">
        <is>
          <t>2026-09-29</t>
        </is>
      </c>
      <c r="H536" s="189" t="inlineStr">
        <is>
          <t>—</t>
        </is>
      </c>
      <c r="I536" s="189" t="n"/>
      <c r="J536" s="190" t="inlineStr">
        <is>
          <t>Girish A</t>
        </is>
      </c>
      <c r="K536" s="190" t="n"/>
      <c r="L536" s="189" t="inlineStr">
        <is>
          <t>Online</t>
        </is>
      </c>
      <c r="M536" s="189" t="n"/>
      <c r="N536" s="190" t="inlineStr">
        <is>
          <t>3L (Listen, Learn, Lead)</t>
        </is>
      </c>
      <c r="O536" s="190" t="n"/>
      <c r="P536" s="190" t="n"/>
      <c r="Q536" s="191" t="n">
        <v>0.3</v>
      </c>
      <c r="R536" s="19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89" t="inlineStr">
        <is>
          <t>September 2026</t>
        </is>
      </c>
      <c r="C537" s="190" t="inlineStr">
        <is>
          <t>Other</t>
        </is>
      </c>
      <c r="D537" s="190" t="n"/>
      <c r="E537" s="190" t="inlineStr">
        <is>
          <t>varsity tickets</t>
        </is>
      </c>
      <c r="F537" s="190" t="n"/>
      <c r="G537" s="189" t="inlineStr">
        <is>
          <t>2026-09-14</t>
        </is>
      </c>
      <c r="H537" s="189" t="inlineStr">
        <is>
          <t>—</t>
        </is>
      </c>
      <c r="I537" s="189" t="n"/>
      <c r="J537" s="190" t="inlineStr">
        <is>
          <t>Harish Bhat</t>
        </is>
      </c>
      <c r="K537" s="190" t="n"/>
      <c r="L537" s="189" t="inlineStr">
        <is>
          <t>Offline</t>
        </is>
      </c>
      <c r="M537" s="189" t="n"/>
      <c r="N537" s="190" t="inlineStr">
        <is>
          <t>varsity tickets</t>
        </is>
      </c>
      <c r="O537" s="190" t="n"/>
      <c r="P537" s="190" t="n"/>
      <c r="Q537" s="191" t="n">
        <v>0.15</v>
      </c>
      <c r="R537" s="19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89" t="inlineStr">
        <is>
          <t>September 2026</t>
        </is>
      </c>
      <c r="C538" s="190" t="inlineStr">
        <is>
          <t>Other</t>
        </is>
      </c>
      <c r="D538" s="190" t="n"/>
      <c r="E538" s="190" t="inlineStr">
        <is>
          <t>varsity tickets</t>
        </is>
      </c>
      <c r="F538" s="190" t="n"/>
      <c r="G538" s="189" t="inlineStr">
        <is>
          <t>2026-09-15</t>
        </is>
      </c>
      <c r="H538" s="189" t="inlineStr">
        <is>
          <t>—</t>
        </is>
      </c>
      <c r="I538" s="189" t="n"/>
      <c r="J538" s="190" t="inlineStr">
        <is>
          <t>Harish Bhat</t>
        </is>
      </c>
      <c r="K538" s="190" t="n"/>
      <c r="L538" s="189" t="inlineStr">
        <is>
          <t>Offline</t>
        </is>
      </c>
      <c r="M538" s="189" t="n"/>
      <c r="N538" s="190" t="inlineStr">
        <is>
          <t>varsity tickets</t>
        </is>
      </c>
      <c r="O538" s="190" t="n"/>
      <c r="P538" s="190" t="n"/>
      <c r="Q538" s="191" t="n">
        <v>0.15</v>
      </c>
      <c r="R538" s="19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89" t="inlineStr">
        <is>
          <t>September 2026</t>
        </is>
      </c>
      <c r="C539" s="190" t="inlineStr">
        <is>
          <t>Other</t>
        </is>
      </c>
      <c r="D539" s="190" t="n"/>
      <c r="E539" s="190" t="inlineStr">
        <is>
          <t>varsity tickets</t>
        </is>
      </c>
      <c r="F539" s="190" t="n"/>
      <c r="G539" s="189" t="inlineStr">
        <is>
          <t>2026-09-16</t>
        </is>
      </c>
      <c r="H539" s="189" t="inlineStr">
        <is>
          <t>—</t>
        </is>
      </c>
      <c r="I539" s="189" t="n"/>
      <c r="J539" s="190" t="inlineStr">
        <is>
          <t>Harish Bhat</t>
        </is>
      </c>
      <c r="K539" s="190" t="n"/>
      <c r="L539" s="189" t="inlineStr">
        <is>
          <t>Offline</t>
        </is>
      </c>
      <c r="M539" s="189" t="n"/>
      <c r="N539" s="190" t="inlineStr">
        <is>
          <t>varsity tickets</t>
        </is>
      </c>
      <c r="O539" s="190" t="n"/>
      <c r="P539" s="190" t="n"/>
      <c r="Q539" s="191" t="n">
        <v>0.15</v>
      </c>
      <c r="R539" s="19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89" t="inlineStr">
        <is>
          <t>September 2026</t>
        </is>
      </c>
      <c r="C540" s="190" t="inlineStr">
        <is>
          <t>Other</t>
        </is>
      </c>
      <c r="D540" s="190" t="n"/>
      <c r="E540" s="190" t="inlineStr">
        <is>
          <t>varsity tickets</t>
        </is>
      </c>
      <c r="F540" s="190" t="n"/>
      <c r="G540" s="189" t="inlineStr">
        <is>
          <t>2026-09-17</t>
        </is>
      </c>
      <c r="H540" s="189" t="inlineStr">
        <is>
          <t>—</t>
        </is>
      </c>
      <c r="I540" s="189" t="n"/>
      <c r="J540" s="190" t="inlineStr">
        <is>
          <t>Harish Bhat</t>
        </is>
      </c>
      <c r="K540" s="190" t="n"/>
      <c r="L540" s="189" t="inlineStr">
        <is>
          <t>Offline</t>
        </is>
      </c>
      <c r="M540" s="189" t="n"/>
      <c r="N540" s="190" t="inlineStr">
        <is>
          <t>varsity tickets</t>
        </is>
      </c>
      <c r="O540" s="190" t="n"/>
      <c r="P540" s="190" t="n"/>
      <c r="Q540" s="191" t="n">
        <v>0.15</v>
      </c>
      <c r="R540" s="19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89" t="inlineStr">
        <is>
          <t>September 2026</t>
        </is>
      </c>
      <c r="C541" s="190" t="inlineStr">
        <is>
          <t>Other</t>
        </is>
      </c>
      <c r="D541" s="190" t="n"/>
      <c r="E541" s="190" t="inlineStr">
        <is>
          <t>varsity tickets</t>
        </is>
      </c>
      <c r="F541" s="190" t="n"/>
      <c r="G541" s="189" t="inlineStr">
        <is>
          <t>2026-09-18</t>
        </is>
      </c>
      <c r="H541" s="189" t="inlineStr">
        <is>
          <t>—</t>
        </is>
      </c>
      <c r="I541" s="189" t="n"/>
      <c r="J541" s="190" t="inlineStr">
        <is>
          <t>Harish Bhat</t>
        </is>
      </c>
      <c r="K541" s="190" t="n"/>
      <c r="L541" s="189" t="inlineStr">
        <is>
          <t>Offline</t>
        </is>
      </c>
      <c r="M541" s="189" t="n"/>
      <c r="N541" s="190" t="inlineStr">
        <is>
          <t>varsity tickets</t>
        </is>
      </c>
      <c r="O541" s="190" t="n"/>
      <c r="P541" s="190" t="n"/>
      <c r="Q541" s="191" t="n">
        <v>0.15</v>
      </c>
      <c r="R541" s="19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89" t="inlineStr">
        <is>
          <t>September 2026</t>
        </is>
      </c>
      <c r="C542" s="190" t="inlineStr">
        <is>
          <t>Other</t>
        </is>
      </c>
      <c r="D542" s="190" t="n"/>
      <c r="E542" s="190" t="inlineStr">
        <is>
          <t>varsity tickets</t>
        </is>
      </c>
      <c r="F542" s="190" t="n"/>
      <c r="G542" s="189" t="inlineStr">
        <is>
          <t>2026-09-21</t>
        </is>
      </c>
      <c r="H542" s="189" t="inlineStr">
        <is>
          <t>—</t>
        </is>
      </c>
      <c r="I542" s="189" t="n"/>
      <c r="J542" s="190" t="inlineStr">
        <is>
          <t>Harish Bhat</t>
        </is>
      </c>
      <c r="K542" s="190" t="n"/>
      <c r="L542" s="189" t="inlineStr">
        <is>
          <t>Online</t>
        </is>
      </c>
      <c r="M542" s="189" t="n"/>
      <c r="N542" s="190" t="inlineStr">
        <is>
          <t>varsity tickets</t>
        </is>
      </c>
      <c r="O542" s="190" t="n"/>
      <c r="P542" s="190" t="n"/>
      <c r="Q542" s="191" t="n">
        <v>0.15</v>
      </c>
      <c r="R542" s="19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89" t="inlineStr">
        <is>
          <t>September 2026</t>
        </is>
      </c>
      <c r="C543" s="190" t="inlineStr">
        <is>
          <t>Other</t>
        </is>
      </c>
      <c r="D543" s="190" t="n"/>
      <c r="E543" s="190" t="inlineStr">
        <is>
          <t>varsity tickets</t>
        </is>
      </c>
      <c r="F543" s="190" t="n"/>
      <c r="G543" s="189" t="inlineStr">
        <is>
          <t>2026-09-22</t>
        </is>
      </c>
      <c r="H543" s="189" t="inlineStr">
        <is>
          <t>—</t>
        </is>
      </c>
      <c r="I543" s="189" t="n"/>
      <c r="J543" s="190" t="inlineStr">
        <is>
          <t>Harish Bhat</t>
        </is>
      </c>
      <c r="K543" s="190" t="n"/>
      <c r="L543" s="189" t="inlineStr">
        <is>
          <t>Online</t>
        </is>
      </c>
      <c r="M543" s="189" t="n"/>
      <c r="N543" s="190" t="inlineStr">
        <is>
          <t>varsity tickets</t>
        </is>
      </c>
      <c r="O543" s="190" t="n"/>
      <c r="P543" s="190" t="n"/>
      <c r="Q543" s="191" t="n">
        <v>0.15</v>
      </c>
      <c r="R543" s="19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89" t="inlineStr">
        <is>
          <t>September 2026</t>
        </is>
      </c>
      <c r="C544" s="190" t="inlineStr">
        <is>
          <t>Other</t>
        </is>
      </c>
      <c r="D544" s="190" t="n"/>
      <c r="E544" s="190" t="inlineStr">
        <is>
          <t>varsity tickets</t>
        </is>
      </c>
      <c r="F544" s="190" t="n"/>
      <c r="G544" s="189" t="inlineStr">
        <is>
          <t>2026-09-23</t>
        </is>
      </c>
      <c r="H544" s="189" t="inlineStr">
        <is>
          <t>—</t>
        </is>
      </c>
      <c r="I544" s="189" t="n"/>
      <c r="J544" s="190" t="inlineStr">
        <is>
          <t>Harish Bhat</t>
        </is>
      </c>
      <c r="K544" s="190" t="n"/>
      <c r="L544" s="189" t="inlineStr">
        <is>
          <t>Online</t>
        </is>
      </c>
      <c r="M544" s="189" t="n"/>
      <c r="N544" s="190" t="inlineStr">
        <is>
          <t>varsity tickets</t>
        </is>
      </c>
      <c r="O544" s="190" t="n"/>
      <c r="P544" s="190" t="n"/>
      <c r="Q544" s="191" t="n">
        <v>0.15</v>
      </c>
      <c r="R544" s="19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89" t="inlineStr">
        <is>
          <t>September 2026</t>
        </is>
      </c>
      <c r="C545" s="190" t="inlineStr">
        <is>
          <t>Other</t>
        </is>
      </c>
      <c r="D545" s="190" t="n"/>
      <c r="E545" s="190" t="inlineStr">
        <is>
          <t>varsity tickets</t>
        </is>
      </c>
      <c r="F545" s="190" t="n"/>
      <c r="G545" s="189" t="inlineStr">
        <is>
          <t>2026-09-24</t>
        </is>
      </c>
      <c r="H545" s="189" t="inlineStr">
        <is>
          <t>—</t>
        </is>
      </c>
      <c r="I545" s="189" t="n"/>
      <c r="J545" s="190" t="inlineStr">
        <is>
          <t>Harish Bhat</t>
        </is>
      </c>
      <c r="K545" s="190" t="n"/>
      <c r="L545" s="189" t="inlineStr">
        <is>
          <t>Online</t>
        </is>
      </c>
      <c r="M545" s="189" t="n"/>
      <c r="N545" s="190" t="inlineStr">
        <is>
          <t>varsity tickets</t>
        </is>
      </c>
      <c r="O545" s="190" t="n"/>
      <c r="P545" s="190" t="n"/>
      <c r="Q545" s="191" t="n">
        <v>0.15</v>
      </c>
      <c r="R545" s="19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89" t="inlineStr">
        <is>
          <t>September 2026</t>
        </is>
      </c>
      <c r="C546" s="190" t="inlineStr">
        <is>
          <t>Other</t>
        </is>
      </c>
      <c r="D546" s="190" t="n"/>
      <c r="E546" s="190" t="inlineStr">
        <is>
          <t>varsity tickets</t>
        </is>
      </c>
      <c r="F546" s="190" t="n"/>
      <c r="G546" s="189" t="inlineStr">
        <is>
          <t>2026-09-25</t>
        </is>
      </c>
      <c r="H546" s="189" t="inlineStr">
        <is>
          <t>—</t>
        </is>
      </c>
      <c r="I546" s="189" t="n"/>
      <c r="J546" s="190" t="inlineStr">
        <is>
          <t>Harish Bhat</t>
        </is>
      </c>
      <c r="K546" s="190" t="n"/>
      <c r="L546" s="189" t="inlineStr">
        <is>
          <t>Online</t>
        </is>
      </c>
      <c r="M546" s="189" t="n"/>
      <c r="N546" s="190" t="inlineStr">
        <is>
          <t>varsity tickets</t>
        </is>
      </c>
      <c r="O546" s="190" t="n"/>
      <c r="P546" s="190" t="n"/>
      <c r="Q546" s="191" t="n">
        <v>0.15</v>
      </c>
      <c r="R546" s="19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89" t="inlineStr">
        <is>
          <t>September 2026</t>
        </is>
      </c>
      <c r="C547" s="190" t="inlineStr">
        <is>
          <t>Support Training</t>
        </is>
      </c>
      <c r="D547" s="190" t="n"/>
      <c r="E547" s="190" t="inlineStr">
        <is>
          <t>New hire batch training (OJT)</t>
        </is>
      </c>
      <c r="F547" s="190" t="n"/>
      <c r="G547" s="189" t="inlineStr">
        <is>
          <t>2026-09-16</t>
        </is>
      </c>
      <c r="H547" s="189" t="inlineStr">
        <is>
          <t>—</t>
        </is>
      </c>
      <c r="I547" s="189" t="n"/>
      <c r="J547" s="190" t="inlineStr">
        <is>
          <t>Girish A</t>
        </is>
      </c>
      <c r="K547" s="190" t="n"/>
      <c r="L547" s="189" t="inlineStr">
        <is>
          <t>Offline</t>
        </is>
      </c>
      <c r="M547" s="189" t="n"/>
      <c r="N547" s="190" t="inlineStr">
        <is>
          <t>New hire batch training (OJT)</t>
        </is>
      </c>
      <c r="O547" s="190" t="n"/>
      <c r="P547" s="190" t="n"/>
      <c r="Q547" s="191" t="n">
        <v>4</v>
      </c>
      <c r="R547" s="19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89" t="inlineStr">
        <is>
          <t>September 2026</t>
        </is>
      </c>
      <c r="C548" s="190" t="inlineStr">
        <is>
          <t>Other</t>
        </is>
      </c>
      <c r="D548" s="190" t="n"/>
      <c r="E548" s="190" t="inlineStr">
        <is>
          <t>varsity tickets</t>
        </is>
      </c>
      <c r="F548" s="190" t="n"/>
      <c r="G548" s="189" t="inlineStr">
        <is>
          <t>2026-09-28</t>
        </is>
      </c>
      <c r="H548" s="189" t="inlineStr">
        <is>
          <t>—</t>
        </is>
      </c>
      <c r="I548" s="189" t="n"/>
      <c r="J548" s="190" t="inlineStr">
        <is>
          <t>Harish Bhat</t>
        </is>
      </c>
      <c r="K548" s="190" t="n"/>
      <c r="L548" s="189" t="inlineStr">
        <is>
          <t>Online</t>
        </is>
      </c>
      <c r="M548" s="189" t="n"/>
      <c r="N548" s="190" t="inlineStr">
        <is>
          <t>varsity tickets</t>
        </is>
      </c>
      <c r="O548" s="190" t="n"/>
      <c r="P548" s="190" t="n"/>
      <c r="Q548" s="191" t="n">
        <v>0.15</v>
      </c>
      <c r="R548" s="19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89" t="inlineStr">
        <is>
          <t>September 2026</t>
        </is>
      </c>
      <c r="C549" s="190" t="inlineStr">
        <is>
          <t>Other</t>
        </is>
      </c>
      <c r="D549" s="190" t="n"/>
      <c r="E549" s="190" t="inlineStr">
        <is>
          <t>varsity tickets</t>
        </is>
      </c>
      <c r="F549" s="190" t="n"/>
      <c r="G549" s="189" t="inlineStr">
        <is>
          <t>2026-09-29</t>
        </is>
      </c>
      <c r="H549" s="189" t="inlineStr">
        <is>
          <t>—</t>
        </is>
      </c>
      <c r="I549" s="189" t="n"/>
      <c r="J549" s="190" t="inlineStr">
        <is>
          <t>Harish Bhat</t>
        </is>
      </c>
      <c r="K549" s="190" t="n"/>
      <c r="L549" s="189" t="inlineStr">
        <is>
          <t>Online</t>
        </is>
      </c>
      <c r="M549" s="189" t="n"/>
      <c r="N549" s="190" t="inlineStr">
        <is>
          <t>varsity tickets</t>
        </is>
      </c>
      <c r="O549" s="190" t="n"/>
      <c r="P549" s="190" t="n"/>
      <c r="Q549" s="191" t="n">
        <v>0.15</v>
      </c>
      <c r="R549" s="19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89" t="inlineStr">
        <is>
          <t>September 2026</t>
        </is>
      </c>
      <c r="C550" s="190" t="inlineStr">
        <is>
          <t>Other</t>
        </is>
      </c>
      <c r="D550" s="190" t="n"/>
      <c r="E550" s="190" t="inlineStr">
        <is>
          <t>varsity tickets</t>
        </is>
      </c>
      <c r="F550" s="190" t="n"/>
      <c r="G550" s="189" t="inlineStr">
        <is>
          <t>2026-09-30</t>
        </is>
      </c>
      <c r="H550" s="189" t="inlineStr">
        <is>
          <t>—</t>
        </is>
      </c>
      <c r="I550" s="189" t="n"/>
      <c r="J550" s="190" t="inlineStr">
        <is>
          <t>Harish Bhat</t>
        </is>
      </c>
      <c r="K550" s="190" t="n"/>
      <c r="L550" s="189" t="inlineStr">
        <is>
          <t>Online</t>
        </is>
      </c>
      <c r="M550" s="189" t="n"/>
      <c r="N550" s="190" t="inlineStr">
        <is>
          <t>varsity tickets</t>
        </is>
      </c>
      <c r="O550" s="190" t="n"/>
      <c r="P550" s="190" t="n"/>
      <c r="Q550" s="191" t="n">
        <v>0.15</v>
      </c>
      <c r="R550" s="19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89" t="inlineStr">
        <is>
          <t>October 2026</t>
        </is>
      </c>
      <c r="C551" s="190" t="inlineStr">
        <is>
          <t>Support Training</t>
        </is>
      </c>
      <c r="D551" s="190" t="n"/>
      <c r="E551" s="190" t="inlineStr">
        <is>
          <t>New hire batch training (OJT)</t>
        </is>
      </c>
      <c r="F551" s="190" t="n"/>
      <c r="G551" s="189" t="inlineStr">
        <is>
          <t>2026-10-01</t>
        </is>
      </c>
      <c r="H551" s="189" t="inlineStr">
        <is>
          <t>—</t>
        </is>
      </c>
      <c r="I551" s="189" t="n"/>
      <c r="J551" s="190" t="inlineStr">
        <is>
          <t>Harish Bhat</t>
        </is>
      </c>
      <c r="K551" s="190" t="n"/>
      <c r="L551" s="189" t="inlineStr">
        <is>
          <t>Offline</t>
        </is>
      </c>
      <c r="M551" s="189" t="n"/>
      <c r="N551" s="190" t="inlineStr">
        <is>
          <t>New hire batch training (OJT)</t>
        </is>
      </c>
      <c r="O551" s="190" t="n"/>
      <c r="P551" s="190" t="n"/>
      <c r="Q551" s="191" t="n">
        <v>6</v>
      </c>
      <c r="R551" s="19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89" t="inlineStr">
        <is>
          <t>October 2026</t>
        </is>
      </c>
      <c r="C552" s="190" t="inlineStr">
        <is>
          <t>Support Training</t>
        </is>
      </c>
      <c r="D552" s="190" t="n"/>
      <c r="E552" s="190" t="inlineStr">
        <is>
          <t>New hire batch training (OJT)</t>
        </is>
      </c>
      <c r="F552" s="190" t="n"/>
      <c r="G552" s="189" t="inlineStr">
        <is>
          <t>2026-10-05</t>
        </is>
      </c>
      <c r="H552" s="189" t="inlineStr">
        <is>
          <t>—</t>
        </is>
      </c>
      <c r="I552" s="189" t="n"/>
      <c r="J552" s="190" t="inlineStr">
        <is>
          <t>Girish A</t>
        </is>
      </c>
      <c r="K552" s="190" t="n"/>
      <c r="L552" s="189" t="inlineStr">
        <is>
          <t>Offline</t>
        </is>
      </c>
      <c r="M552" s="189" t="n"/>
      <c r="N552" s="190" t="inlineStr">
        <is>
          <t>New hire batch training (OJT)</t>
        </is>
      </c>
      <c r="O552" s="190" t="n"/>
      <c r="P552" s="190" t="n"/>
      <c r="Q552" s="191" t="n">
        <v>6</v>
      </c>
      <c r="R552" s="19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89" t="inlineStr">
        <is>
          <t>October 2026</t>
        </is>
      </c>
      <c r="C553" s="190" t="inlineStr">
        <is>
          <t>Support Training</t>
        </is>
      </c>
      <c r="D553" s="190" t="n"/>
      <c r="E553" s="190" t="inlineStr">
        <is>
          <t>New hire batch training (OJT)</t>
        </is>
      </c>
      <c r="F553" s="190" t="n"/>
      <c r="G553" s="189" t="inlineStr">
        <is>
          <t>2026-10-06</t>
        </is>
      </c>
      <c r="H553" s="189" t="inlineStr">
        <is>
          <t>—</t>
        </is>
      </c>
      <c r="I553" s="189" t="n"/>
      <c r="J553" s="190" t="inlineStr">
        <is>
          <t>Girish A</t>
        </is>
      </c>
      <c r="K553" s="190" t="n"/>
      <c r="L553" s="189" t="inlineStr">
        <is>
          <t>Offline</t>
        </is>
      </c>
      <c r="M553" s="189" t="n"/>
      <c r="N553" s="190" t="inlineStr">
        <is>
          <t>New hire batch training (OJT)</t>
        </is>
      </c>
      <c r="O553" s="190" t="n"/>
      <c r="P553" s="190" t="n"/>
      <c r="Q553" s="191" t="n">
        <v>6</v>
      </c>
      <c r="R553" s="19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89" t="inlineStr">
        <is>
          <t>October 2026</t>
        </is>
      </c>
      <c r="C554" s="190" t="inlineStr">
        <is>
          <t>Support Training</t>
        </is>
      </c>
      <c r="D554" s="190" t="n"/>
      <c r="E554" s="190" t="inlineStr">
        <is>
          <t>New hire batch training (OJT)</t>
        </is>
      </c>
      <c r="F554" s="190" t="n"/>
      <c r="G554" s="189" t="inlineStr">
        <is>
          <t>2026-10-07</t>
        </is>
      </c>
      <c r="H554" s="189" t="inlineStr">
        <is>
          <t>—</t>
        </is>
      </c>
      <c r="I554" s="189" t="n"/>
      <c r="J554" s="190" t="inlineStr">
        <is>
          <t>Girish A</t>
        </is>
      </c>
      <c r="K554" s="190" t="n"/>
      <c r="L554" s="189" t="inlineStr">
        <is>
          <t>Offline</t>
        </is>
      </c>
      <c r="M554" s="189" t="n"/>
      <c r="N554" s="190" t="inlineStr">
        <is>
          <t>New hire batch training (OJT)</t>
        </is>
      </c>
      <c r="O554" s="190" t="n"/>
      <c r="P554" s="190" t="n"/>
      <c r="Q554" s="191" t="n">
        <v>6</v>
      </c>
      <c r="R554" s="19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89" t="inlineStr">
        <is>
          <t>October 2026</t>
        </is>
      </c>
      <c r="C555" s="190" t="inlineStr">
        <is>
          <t>Support Training</t>
        </is>
      </c>
      <c r="D555" s="190" t="n"/>
      <c r="E555" s="190" t="inlineStr">
        <is>
          <t>New hire batch training (OJT)</t>
        </is>
      </c>
      <c r="F555" s="190" t="n"/>
      <c r="G555" s="189" t="inlineStr">
        <is>
          <t>2026-10-08</t>
        </is>
      </c>
      <c r="H555" s="189" t="inlineStr">
        <is>
          <t>—</t>
        </is>
      </c>
      <c r="I555" s="189" t="n"/>
      <c r="J555" s="190" t="inlineStr">
        <is>
          <t>Girish A</t>
        </is>
      </c>
      <c r="K555" s="190" t="n"/>
      <c r="L555" s="189" t="inlineStr">
        <is>
          <t>Offline</t>
        </is>
      </c>
      <c r="M555" s="189" t="n"/>
      <c r="N555" s="190" t="inlineStr">
        <is>
          <t>New hire batch training (OJT)</t>
        </is>
      </c>
      <c r="O555" s="190" t="n"/>
      <c r="P555" s="190" t="n"/>
      <c r="Q555" s="191" t="n">
        <v>6</v>
      </c>
      <c r="R555" s="19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89" t="inlineStr">
        <is>
          <t>October 2026</t>
        </is>
      </c>
      <c r="C556" s="190" t="inlineStr">
        <is>
          <t>Support Training</t>
        </is>
      </c>
      <c r="D556" s="190" t="n"/>
      <c r="E556" s="190" t="inlineStr">
        <is>
          <t>New hire batch training (OJT)</t>
        </is>
      </c>
      <c r="F556" s="190" t="n"/>
      <c r="G556" s="189" t="inlineStr">
        <is>
          <t>2026-10-09</t>
        </is>
      </c>
      <c r="H556" s="189" t="inlineStr">
        <is>
          <t>—</t>
        </is>
      </c>
      <c r="I556" s="189" t="n"/>
      <c r="J556" s="190" t="inlineStr">
        <is>
          <t>Girish A</t>
        </is>
      </c>
      <c r="K556" s="190" t="n"/>
      <c r="L556" s="189" t="inlineStr">
        <is>
          <t>Offline</t>
        </is>
      </c>
      <c r="M556" s="189" t="n"/>
      <c r="N556" s="190" t="inlineStr">
        <is>
          <t>New hire batch training (OJT)</t>
        </is>
      </c>
      <c r="O556" s="190" t="n"/>
      <c r="P556" s="190" t="n"/>
      <c r="Q556" s="191" t="n">
        <v>6</v>
      </c>
      <c r="R556" s="19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89" t="inlineStr">
        <is>
          <t>October 2026</t>
        </is>
      </c>
      <c r="C557" s="190" t="inlineStr">
        <is>
          <t>Support Training</t>
        </is>
      </c>
      <c r="D557" s="190" t="n"/>
      <c r="E557" s="190" t="inlineStr">
        <is>
          <t>Managers 360 assessment - Presentation</t>
        </is>
      </c>
      <c r="F557" s="190" t="n"/>
      <c r="G557" s="189" t="inlineStr">
        <is>
          <t>2026-10-06</t>
        </is>
      </c>
      <c r="H557" s="189" t="inlineStr">
        <is>
          <t>—</t>
        </is>
      </c>
      <c r="I557" s="189" t="n"/>
      <c r="J557" s="190" t="inlineStr">
        <is>
          <t>Freeda Reshma Dsouza</t>
        </is>
      </c>
      <c r="K557" s="190" t="n"/>
      <c r="L557" s="189" t="inlineStr">
        <is>
          <t>Offline</t>
        </is>
      </c>
      <c r="M557" s="189" t="n"/>
      <c r="N557" s="190" t="inlineStr">
        <is>
          <t>Managers 360 assessment - Presentation</t>
        </is>
      </c>
      <c r="O557" s="190" t="n"/>
      <c r="P557" s="190" t="n"/>
      <c r="Q557" s="191" t="n">
        <v>6</v>
      </c>
      <c r="R557" s="19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89" t="inlineStr">
        <is>
          <t>October 2026</t>
        </is>
      </c>
      <c r="C558" s="190" t="inlineStr">
        <is>
          <t>Support Training</t>
        </is>
      </c>
      <c r="D558" s="190" t="n"/>
      <c r="E558" s="190" t="inlineStr">
        <is>
          <t>Managers 360 assessment - Presentation</t>
        </is>
      </c>
      <c r="F558" s="190" t="n"/>
      <c r="G558" s="189" t="inlineStr">
        <is>
          <t>2026-10-05</t>
        </is>
      </c>
      <c r="H558" s="189" t="inlineStr">
        <is>
          <t>—</t>
        </is>
      </c>
      <c r="I558" s="189" t="n"/>
      <c r="J558" s="190" t="inlineStr">
        <is>
          <t>Freeda Reshma Dsouza</t>
        </is>
      </c>
      <c r="K558" s="190" t="n"/>
      <c r="L558" s="189" t="inlineStr">
        <is>
          <t>Offline</t>
        </is>
      </c>
      <c r="M558" s="189" t="n"/>
      <c r="N558" s="190" t="inlineStr">
        <is>
          <t>Managers 360 assessment - Presentation</t>
        </is>
      </c>
      <c r="O558" s="190" t="n"/>
      <c r="P558" s="190" t="n"/>
      <c r="Q558" s="191" t="n">
        <v>6</v>
      </c>
      <c r="R558" s="19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89" t="inlineStr">
        <is>
          <t>October 2026</t>
        </is>
      </c>
      <c r="C559" s="190" t="inlineStr">
        <is>
          <t>Support Training</t>
        </is>
      </c>
      <c r="D559" s="190" t="n"/>
      <c r="E559" s="190" t="inlineStr">
        <is>
          <t>Managers 360 assessment - Presentation</t>
        </is>
      </c>
      <c r="F559" s="190" t="n"/>
      <c r="G559" s="189" t="inlineStr">
        <is>
          <t>2026-10-07</t>
        </is>
      </c>
      <c r="H559" s="189" t="inlineStr">
        <is>
          <t>—</t>
        </is>
      </c>
      <c r="I559" s="189" t="n"/>
      <c r="J559" s="190" t="inlineStr">
        <is>
          <t>Freeda Reshma Dsouza</t>
        </is>
      </c>
      <c r="K559" s="190" t="n"/>
      <c r="L559" s="189" t="inlineStr">
        <is>
          <t>Offline</t>
        </is>
      </c>
      <c r="M559" s="189" t="n"/>
      <c r="N559" s="190" t="inlineStr">
        <is>
          <t>Managers 360 assessment - Presentation</t>
        </is>
      </c>
      <c r="O559" s="190" t="n"/>
      <c r="P559" s="190" t="n"/>
      <c r="Q559" s="191" t="n">
        <v>6</v>
      </c>
      <c r="R559" s="19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89" t="inlineStr">
        <is>
          <t>October 2026</t>
        </is>
      </c>
      <c r="C560" s="190" t="inlineStr">
        <is>
          <t>Support Training</t>
        </is>
      </c>
      <c r="D560" s="190" t="n"/>
      <c r="E560" s="190" t="inlineStr">
        <is>
          <t>Managers 360 assessment - Presentation</t>
        </is>
      </c>
      <c r="F560" s="190" t="n"/>
      <c r="G560" s="189" t="inlineStr">
        <is>
          <t>2026-10-08</t>
        </is>
      </c>
      <c r="H560" s="189" t="inlineStr">
        <is>
          <t>—</t>
        </is>
      </c>
      <c r="I560" s="189" t="n"/>
      <c r="J560" s="190" t="inlineStr">
        <is>
          <t>Freeda Reshma Dsouza</t>
        </is>
      </c>
      <c r="K560" s="190" t="n"/>
      <c r="L560" s="189" t="inlineStr">
        <is>
          <t>Offline</t>
        </is>
      </c>
      <c r="M560" s="189" t="n"/>
      <c r="N560" s="190" t="inlineStr">
        <is>
          <t>Managers 360 assessment - Presentation</t>
        </is>
      </c>
      <c r="O560" s="190" t="n"/>
      <c r="P560" s="190" t="n"/>
      <c r="Q560" s="191" t="n">
        <v>6</v>
      </c>
      <c r="R560" s="19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89" t="inlineStr">
        <is>
          <t>October 2026</t>
        </is>
      </c>
      <c r="C561" s="190" t="inlineStr">
        <is>
          <t>Other</t>
        </is>
      </c>
      <c r="D561" s="190" t="n"/>
      <c r="E561" s="190" t="inlineStr">
        <is>
          <t>varsity tickets</t>
        </is>
      </c>
      <c r="F561" s="190" t="n"/>
      <c r="G561" s="189" t="inlineStr">
        <is>
          <t>2026-10-01</t>
        </is>
      </c>
      <c r="H561" s="189" t="inlineStr">
        <is>
          <t>—</t>
        </is>
      </c>
      <c r="I561" s="189" t="n"/>
      <c r="J561" s="190" t="inlineStr">
        <is>
          <t>Harish Bhat</t>
        </is>
      </c>
      <c r="K561" s="190" t="n"/>
      <c r="L561" s="189" t="inlineStr">
        <is>
          <t>Online</t>
        </is>
      </c>
      <c r="M561" s="189" t="n"/>
      <c r="N561" s="190" t="inlineStr">
        <is>
          <t>varsity tickets</t>
        </is>
      </c>
      <c r="O561" s="190" t="n"/>
      <c r="P561" s="190" t="n"/>
      <c r="Q561" s="191" t="n">
        <v>0.15</v>
      </c>
      <c r="R561" s="19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89" t="inlineStr">
        <is>
          <t>October 2026</t>
        </is>
      </c>
      <c r="C562" s="190" t="inlineStr">
        <is>
          <t>Other</t>
        </is>
      </c>
      <c r="D562" s="190" t="n"/>
      <c r="E562" s="190" t="inlineStr">
        <is>
          <t>varsity tickets</t>
        </is>
      </c>
      <c r="F562" s="190" t="n"/>
      <c r="G562" s="189" t="inlineStr">
        <is>
          <t>2026-10-02</t>
        </is>
      </c>
      <c r="H562" s="189" t="inlineStr">
        <is>
          <t>—</t>
        </is>
      </c>
      <c r="I562" s="189" t="n"/>
      <c r="J562" s="190" t="inlineStr">
        <is>
          <t>Harish Bhat</t>
        </is>
      </c>
      <c r="K562" s="190" t="n"/>
      <c r="L562" s="189" t="inlineStr">
        <is>
          <t>Online</t>
        </is>
      </c>
      <c r="M562" s="189" t="n"/>
      <c r="N562" s="190" t="inlineStr">
        <is>
          <t>varsity tickets</t>
        </is>
      </c>
      <c r="O562" s="190" t="n"/>
      <c r="P562" s="190" t="n"/>
      <c r="Q562" s="191" t="n">
        <v>0.15</v>
      </c>
      <c r="R562" s="19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193" t="n"/>
      <c r="C799" s="193" t="n"/>
      <c r="D799" s="193" t="n"/>
      <c r="E799" s="193" t="n"/>
      <c r="F799" s="193" t="n"/>
      <c r="G799" s="193" t="n"/>
      <c r="H799" s="193" t="n"/>
      <c r="I799" s="193" t="n"/>
      <c r="J799" s="193" t="n"/>
      <c r="K799" s="193" t="n"/>
      <c r="L799" s="193" t="n"/>
      <c r="M799" s="193" t="n"/>
      <c r="N799" s="193" t="n"/>
      <c r="O799" s="193" t="n"/>
      <c r="P799" s="193" t="n"/>
      <c r="Q799" s="193" t="n"/>
      <c r="R799" s="19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193" t="n"/>
      <c r="C800" s="193" t="n"/>
      <c r="D800" s="193" t="n"/>
      <c r="E800" s="193" t="n"/>
      <c r="F800" s="193" t="n"/>
      <c r="G800" s="193" t="n"/>
      <c r="H800" s="193" t="n"/>
      <c r="I800" s="193" t="n"/>
      <c r="J800" s="193" t="n"/>
      <c r="K800" s="193" t="n"/>
      <c r="L800" s="193" t="n"/>
      <c r="M800" s="193" t="n"/>
      <c r="N800" s="193" t="n"/>
      <c r="O800" s="193" t="n"/>
      <c r="P800" s="193" t="n"/>
      <c r="Q800" s="193" t="n"/>
      <c r="R800" s="19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193" t="n"/>
      <c r="C801" s="193" t="n"/>
      <c r="D801" s="193" t="n"/>
      <c r="E801" s="193" t="n"/>
      <c r="F801" s="193" t="n"/>
      <c r="G801" s="193" t="n"/>
      <c r="H801" s="193" t="n"/>
      <c r="I801" s="193" t="n"/>
      <c r="J801" s="193" t="n"/>
      <c r="K801" s="193" t="n"/>
      <c r="L801" s="193" t="n"/>
      <c r="M801" s="193" t="n"/>
      <c r="N801" s="193" t="n"/>
      <c r="O801" s="193" t="n"/>
      <c r="P801" s="193" t="n"/>
      <c r="Q801" s="193" t="n"/>
      <c r="R801" s="19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193" t="n"/>
      <c r="C802" s="193" t="n"/>
      <c r="D802" s="193" t="n"/>
      <c r="E802" s="193" t="n"/>
      <c r="F802" s="193" t="n"/>
      <c r="G802" s="193" t="n"/>
      <c r="H802" s="193" t="n"/>
      <c r="I802" s="193" t="n"/>
      <c r="J802" s="193" t="n"/>
      <c r="K802" s="193" t="n"/>
      <c r="L802" s="193" t="n"/>
      <c r="M802" s="193" t="n"/>
      <c r="N802" s="193" t="n"/>
      <c r="O802" s="193" t="n"/>
      <c r="P802" s="193" t="n"/>
      <c r="Q802" s="193" t="n"/>
      <c r="R802" s="19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193" t="n"/>
      <c r="C803" s="193" t="n"/>
      <c r="D803" s="193" t="n"/>
      <c r="E803" s="193" t="n"/>
      <c r="F803" s="193" t="n"/>
      <c r="G803" s="193" t="n"/>
      <c r="H803" s="193" t="n"/>
      <c r="I803" s="193" t="n"/>
      <c r="J803" s="193" t="n"/>
      <c r="K803" s="193" t="n"/>
      <c r="L803" s="193" t="n"/>
      <c r="M803" s="193" t="n"/>
      <c r="N803" s="193" t="n"/>
      <c r="O803" s="193" t="n"/>
      <c r="P803" s="193" t="n"/>
      <c r="Q803" s="193" t="n"/>
      <c r="R803" s="19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193" t="n"/>
      <c r="C804" s="193" t="n"/>
      <c r="D804" s="193" t="n"/>
      <c r="E804" s="193" t="n"/>
      <c r="F804" s="193" t="n"/>
      <c r="G804" s="193" t="n"/>
      <c r="H804" s="193" t="n"/>
      <c r="I804" s="193" t="n"/>
      <c r="J804" s="193" t="n"/>
      <c r="K804" s="193" t="n"/>
      <c r="L804" s="193" t="n"/>
      <c r="M804" s="193" t="n"/>
      <c r="N804" s="193" t="n"/>
      <c r="O804" s="193" t="n"/>
      <c r="P804" s="193" t="n"/>
      <c r="Q804" s="193" t="n"/>
      <c r="R804" s="19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193" t="n"/>
      <c r="C805" s="193" t="n"/>
      <c r="D805" s="193" t="n"/>
      <c r="E805" s="193" t="n"/>
      <c r="F805" s="193" t="n"/>
      <c r="G805" s="193" t="n"/>
      <c r="H805" s="193" t="n"/>
      <c r="I805" s="193" t="n"/>
      <c r="J805" s="193" t="n"/>
      <c r="K805" s="193" t="n"/>
      <c r="L805" s="193" t="n"/>
      <c r="M805" s="193" t="n"/>
      <c r="N805" s="193" t="n"/>
      <c r="O805" s="193" t="n"/>
      <c r="P805" s="193" t="n"/>
      <c r="Q805" s="193" t="n"/>
      <c r="R805" s="19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193" t="n"/>
      <c r="C806" s="193" t="n"/>
      <c r="D806" s="193" t="n"/>
      <c r="E806" s="193" t="n"/>
      <c r="F806" s="193" t="n"/>
      <c r="G806" s="193" t="n"/>
      <c r="H806" s="193" t="n"/>
      <c r="I806" s="193" t="n"/>
      <c r="J806" s="193" t="n"/>
      <c r="K806" s="193" t="n"/>
      <c r="L806" s="193" t="n"/>
      <c r="M806" s="193" t="n"/>
      <c r="N806" s="193" t="n"/>
      <c r="O806" s="193" t="n"/>
      <c r="P806" s="193" t="n"/>
      <c r="Q806" s="193" t="n"/>
      <c r="R806" s="19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193" t="n"/>
      <c r="C807" s="193" t="n"/>
      <c r="D807" s="193" t="n"/>
      <c r="E807" s="193" t="n"/>
      <c r="F807" s="193" t="n"/>
      <c r="G807" s="193" t="n"/>
      <c r="H807" s="193" t="n"/>
      <c r="I807" s="193" t="n"/>
      <c r="J807" s="193" t="n"/>
      <c r="K807" s="193" t="n"/>
      <c r="L807" s="193" t="n"/>
      <c r="M807" s="193" t="n"/>
      <c r="N807" s="193" t="n"/>
      <c r="O807" s="193" t="n"/>
      <c r="P807" s="193" t="n"/>
      <c r="Q807" s="193" t="n"/>
      <c r="R807" s="19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193" t="n"/>
      <c r="C808" s="193" t="n"/>
      <c r="D808" s="193" t="n"/>
      <c r="E808" s="193" t="n"/>
      <c r="F808" s="193" t="n"/>
      <c r="G808" s="193" t="n"/>
      <c r="H808" s="193" t="n"/>
      <c r="I808" s="193" t="n"/>
      <c r="J808" s="193" t="n"/>
      <c r="K808" s="193" t="n"/>
      <c r="L808" s="193" t="n"/>
      <c r="M808" s="193" t="n"/>
      <c r="N808" s="193" t="n"/>
      <c r="O808" s="193" t="n"/>
      <c r="P808" s="193" t="n"/>
      <c r="Q808" s="193" t="n"/>
      <c r="R808" s="19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193" t="n"/>
      <c r="C809" s="193" t="n"/>
      <c r="D809" s="193" t="n"/>
      <c r="E809" s="193" t="n"/>
      <c r="F809" s="193" t="n"/>
      <c r="G809" s="193" t="n"/>
      <c r="H809" s="193" t="n"/>
      <c r="I809" s="193" t="n"/>
      <c r="J809" s="193" t="n"/>
      <c r="K809" s="193" t="n"/>
      <c r="L809" s="193" t="n"/>
      <c r="M809" s="193" t="n"/>
      <c r="N809" s="193" t="n"/>
      <c r="O809" s="193" t="n"/>
      <c r="P809" s="193" t="n"/>
      <c r="Q809" s="193" t="n"/>
      <c r="R809" s="19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193" t="n"/>
      <c r="C810" s="193" t="n"/>
      <c r="D810" s="193" t="n"/>
      <c r="E810" s="193" t="n"/>
      <c r="F810" s="193" t="n"/>
      <c r="G810" s="193" t="n"/>
      <c r="H810" s="193" t="n"/>
      <c r="I810" s="193" t="n"/>
      <c r="J810" s="193" t="n"/>
      <c r="K810" s="193" t="n"/>
      <c r="L810" s="193" t="n"/>
      <c r="M810" s="193" t="n"/>
      <c r="N810" s="193" t="n"/>
      <c r="O810" s="193" t="n"/>
      <c r="P810" s="193" t="n"/>
      <c r="Q810" s="193" t="n"/>
      <c r="R810" s="19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193" t="n"/>
      <c r="C811" s="193" t="n"/>
      <c r="D811" s="193" t="n"/>
      <c r="E811" s="193" t="n"/>
      <c r="F811" s="193" t="n"/>
      <c r="G811" s="193" t="n"/>
      <c r="H811" s="193" t="n"/>
      <c r="I811" s="193" t="n"/>
      <c r="J811" s="193" t="n"/>
      <c r="K811" s="193" t="n"/>
      <c r="L811" s="193" t="n"/>
      <c r="M811" s="193" t="n"/>
      <c r="N811" s="193" t="n"/>
      <c r="O811" s="193" t="n"/>
      <c r="P811" s="193" t="n"/>
      <c r="Q811" s="193" t="n"/>
      <c r="R811" s="19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193" t="n"/>
      <c r="C812" s="193" t="n"/>
      <c r="D812" s="193" t="n"/>
      <c r="E812" s="193" t="n"/>
      <c r="F812" s="193" t="n"/>
      <c r="G812" s="193" t="n"/>
      <c r="H812" s="193" t="n"/>
      <c r="I812" s="193" t="n"/>
      <c r="J812" s="193" t="n"/>
      <c r="K812" s="193" t="n"/>
      <c r="L812" s="193" t="n"/>
      <c r="M812" s="193" t="n"/>
      <c r="N812" s="193" t="n"/>
      <c r="O812" s="193" t="n"/>
      <c r="P812" s="193" t="n"/>
      <c r="Q812" s="193" t="n"/>
      <c r="R812" s="19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193" t="n"/>
      <c r="C813" s="193" t="n"/>
      <c r="D813" s="193" t="n"/>
      <c r="E813" s="193" t="n"/>
      <c r="F813" s="193" t="n"/>
      <c r="G813" s="193" t="n"/>
      <c r="H813" s="193" t="n"/>
      <c r="I813" s="193" t="n"/>
      <c r="J813" s="193" t="n"/>
      <c r="K813" s="193" t="n"/>
      <c r="L813" s="193" t="n"/>
      <c r="M813" s="193" t="n"/>
      <c r="N813" s="193" t="n"/>
      <c r="O813" s="193" t="n"/>
      <c r="P813" s="193" t="n"/>
      <c r="Q813" s="193" t="n"/>
      <c r="R813" s="19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193" t="n"/>
      <c r="C814" s="193" t="n"/>
      <c r="D814" s="193" t="n"/>
      <c r="E814" s="193" t="n"/>
      <c r="F814" s="193" t="n"/>
      <c r="G814" s="193" t="n"/>
      <c r="H814" s="193" t="n"/>
      <c r="I814" s="193" t="n"/>
      <c r="J814" s="193" t="n"/>
      <c r="K814" s="193" t="n"/>
      <c r="L814" s="193" t="n"/>
      <c r="M814" s="193" t="n"/>
      <c r="N814" s="193" t="n"/>
      <c r="O814" s="193" t="n"/>
      <c r="P814" s="193" t="n"/>
      <c r="Q814" s="193" t="n"/>
      <c r="R814" s="19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193" t="n"/>
      <c r="C815" s="193" t="n"/>
      <c r="D815" s="193" t="n"/>
      <c r="E815" s="193" t="n"/>
      <c r="F815" s="193" t="n"/>
      <c r="G815" s="193" t="n"/>
      <c r="H815" s="193" t="n"/>
      <c r="I815" s="193" t="n"/>
      <c r="J815" s="193" t="n"/>
      <c r="K815" s="193" t="n"/>
      <c r="L815" s="193" t="n"/>
      <c r="M815" s="193" t="n"/>
      <c r="N815" s="193" t="n"/>
      <c r="O815" s="193" t="n"/>
      <c r="P815" s="193" t="n"/>
      <c r="Q815" s="193" t="n"/>
      <c r="R815" s="19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193" t="n"/>
      <c r="C816" s="193" t="n"/>
      <c r="D816" s="193" t="n"/>
      <c r="E816" s="193" t="n"/>
      <c r="F816" s="193" t="n"/>
      <c r="G816" s="193" t="n"/>
      <c r="H816" s="193" t="n"/>
      <c r="I816" s="193" t="n"/>
      <c r="J816" s="193" t="n"/>
      <c r="K816" s="193" t="n"/>
      <c r="L816" s="193" t="n"/>
      <c r="M816" s="193" t="n"/>
      <c r="N816" s="193" t="n"/>
      <c r="O816" s="193" t="n"/>
      <c r="P816" s="193" t="n"/>
      <c r="Q816" s="193" t="n"/>
      <c r="R816" s="19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193" t="n"/>
      <c r="C817" s="193" t="n"/>
      <c r="D817" s="193" t="n"/>
      <c r="E817" s="193" t="n"/>
      <c r="F817" s="193" t="n"/>
      <c r="G817" s="193" t="n"/>
      <c r="H817" s="193" t="n"/>
      <c r="I817" s="193" t="n"/>
      <c r="J817" s="193" t="n"/>
      <c r="K817" s="193" t="n"/>
      <c r="L817" s="193" t="n"/>
      <c r="M817" s="193" t="n"/>
      <c r="N817" s="193" t="n"/>
      <c r="O817" s="193" t="n"/>
      <c r="P817" s="193" t="n"/>
      <c r="Q817" s="193" t="n"/>
      <c r="R817" s="19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193" t="n"/>
      <c r="C818" s="193" t="n"/>
      <c r="D818" s="193" t="n"/>
      <c r="E818" s="193" t="n"/>
      <c r="F818" s="193" t="n"/>
      <c r="G818" s="193" t="n"/>
      <c r="H818" s="193" t="n"/>
      <c r="I818" s="193" t="n"/>
      <c r="J818" s="193" t="n"/>
      <c r="K818" s="193" t="n"/>
      <c r="L818" s="193" t="n"/>
      <c r="M818" s="193" t="n"/>
      <c r="N818" s="193" t="n"/>
      <c r="O818" s="193" t="n"/>
      <c r="P818" s="193" t="n"/>
      <c r="Q818" s="193" t="n"/>
      <c r="R818" s="19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193" t="n"/>
      <c r="C819" s="193" t="n"/>
      <c r="D819" s="193" t="n"/>
      <c r="E819" s="193" t="n"/>
      <c r="F819" s="193" t="n"/>
      <c r="G819" s="193" t="n"/>
      <c r="H819" s="193" t="n"/>
      <c r="I819" s="193" t="n"/>
      <c r="J819" s="193" t="n"/>
      <c r="K819" s="193" t="n"/>
      <c r="L819" s="193" t="n"/>
      <c r="M819" s="193" t="n"/>
      <c r="N819" s="193" t="n"/>
      <c r="O819" s="193" t="n"/>
      <c r="P819" s="193" t="n"/>
      <c r="Q819" s="193" t="n"/>
      <c r="R819" s="19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193" t="n"/>
      <c r="C820" s="193" t="n"/>
      <c r="D820" s="193" t="n"/>
      <c r="E820" s="193" t="n"/>
      <c r="F820" s="193" t="n"/>
      <c r="G820" s="193" t="n"/>
      <c r="H820" s="193" t="n"/>
      <c r="I820" s="193" t="n"/>
      <c r="J820" s="193" t="n"/>
      <c r="K820" s="193" t="n"/>
      <c r="L820" s="193" t="n"/>
      <c r="M820" s="193" t="n"/>
      <c r="N820" s="193" t="n"/>
      <c r="O820" s="193" t="n"/>
      <c r="P820" s="193" t="n"/>
      <c r="Q820" s="193" t="n"/>
      <c r="R820" s="19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193" t="n"/>
      <c r="C821" s="193" t="n"/>
      <c r="D821" s="193" t="n"/>
      <c r="E821" s="193" t="n"/>
      <c r="F821" s="193" t="n"/>
      <c r="G821" s="193" t="n"/>
      <c r="H821" s="193" t="n"/>
      <c r="I821" s="193" t="n"/>
      <c r="J821" s="193" t="n"/>
      <c r="K821" s="193" t="n"/>
      <c r="L821" s="193" t="n"/>
      <c r="M821" s="193" t="n"/>
      <c r="N821" s="193" t="n"/>
      <c r="O821" s="193" t="n"/>
      <c r="P821" s="193" t="n"/>
      <c r="Q821" s="193" t="n"/>
      <c r="R821" s="19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193" t="n"/>
      <c r="C822" s="193" t="n"/>
      <c r="D822" s="193" t="n"/>
      <c r="E822" s="193" t="n"/>
      <c r="F822" s="193" t="n"/>
      <c r="G822" s="193" t="n"/>
      <c r="H822" s="193" t="n"/>
      <c r="I822" s="193" t="n"/>
      <c r="J822" s="193" t="n"/>
      <c r="K822" s="193" t="n"/>
      <c r="L822" s="193" t="n"/>
      <c r="M822" s="193" t="n"/>
      <c r="N822" s="193" t="n"/>
      <c r="O822" s="193" t="n"/>
      <c r="P822" s="193" t="n"/>
      <c r="Q822" s="193" t="n"/>
      <c r="R822" s="19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193" t="n"/>
      <c r="C823" s="193" t="n"/>
      <c r="D823" s="193" t="n"/>
      <c r="E823" s="193" t="n"/>
      <c r="F823" s="193" t="n"/>
      <c r="G823" s="193" t="n"/>
      <c r="H823" s="193" t="n"/>
      <c r="I823" s="193" t="n"/>
      <c r="J823" s="193" t="n"/>
      <c r="K823" s="193" t="n"/>
      <c r="L823" s="193" t="n"/>
      <c r="M823" s="193" t="n"/>
      <c r="N823" s="193" t="n"/>
      <c r="O823" s="193" t="n"/>
      <c r="P823" s="193" t="n"/>
      <c r="Q823" s="193" t="n"/>
      <c r="R823" s="19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193" t="n"/>
      <c r="C824" s="193" t="n"/>
      <c r="D824" s="193" t="n"/>
      <c r="E824" s="193" t="n"/>
      <c r="F824" s="193" t="n"/>
      <c r="G824" s="193" t="n"/>
      <c r="H824" s="193" t="n"/>
      <c r="I824" s="193" t="n"/>
      <c r="J824" s="193" t="n"/>
      <c r="K824" s="193" t="n"/>
      <c r="L824" s="193" t="n"/>
      <c r="M824" s="193" t="n"/>
      <c r="N824" s="193" t="n"/>
      <c r="O824" s="193" t="n"/>
      <c r="P824" s="193" t="n"/>
      <c r="Q824" s="193" t="n"/>
      <c r="R824" s="19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193" t="n"/>
      <c r="C825" s="193" t="n"/>
      <c r="D825" s="193" t="n"/>
      <c r="E825" s="193" t="n"/>
      <c r="F825" s="193" t="n"/>
      <c r="G825" s="193" t="n"/>
      <c r="H825" s="193" t="n"/>
      <c r="I825" s="193" t="n"/>
      <c r="J825" s="193" t="n"/>
      <c r="K825" s="193" t="n"/>
      <c r="L825" s="193" t="n"/>
      <c r="M825" s="193" t="n"/>
      <c r="N825" s="193" t="n"/>
      <c r="O825" s="193" t="n"/>
      <c r="P825" s="193" t="n"/>
      <c r="Q825" s="193" t="n"/>
      <c r="R825" s="19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193" t="n"/>
      <c r="C826" s="193" t="n"/>
      <c r="D826" s="193" t="n"/>
      <c r="E826" s="193" t="n"/>
      <c r="F826" s="193" t="n"/>
      <c r="G826" s="193" t="n"/>
      <c r="H826" s="193" t="n"/>
      <c r="I826" s="193" t="n"/>
      <c r="J826" s="193" t="n"/>
      <c r="K826" s="193" t="n"/>
      <c r="L826" s="193" t="n"/>
      <c r="M826" s="193" t="n"/>
      <c r="N826" s="193" t="n"/>
      <c r="O826" s="193" t="n"/>
      <c r="P826" s="193" t="n"/>
      <c r="Q826" s="193" t="n"/>
      <c r="R826" s="19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193" t="n"/>
      <c r="C827" s="193" t="n"/>
      <c r="D827" s="193" t="n"/>
      <c r="E827" s="193" t="n"/>
      <c r="F827" s="193" t="n"/>
      <c r="G827" s="193" t="n"/>
      <c r="H827" s="193" t="n"/>
      <c r="I827" s="193" t="n"/>
      <c r="J827" s="193" t="n"/>
      <c r="K827" s="193" t="n"/>
      <c r="L827" s="193" t="n"/>
      <c r="M827" s="193" t="n"/>
      <c r="N827" s="193" t="n"/>
      <c r="O827" s="193" t="n"/>
      <c r="P827" s="193" t="n"/>
      <c r="Q827" s="193" t="n"/>
      <c r="R827" s="19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193" t="n"/>
      <c r="C828" s="193" t="n"/>
      <c r="D828" s="193" t="n"/>
      <c r="E828" s="193" t="n"/>
      <c r="F828" s="193" t="n"/>
      <c r="G828" s="193" t="n"/>
      <c r="H828" s="193" t="n"/>
      <c r="I828" s="193" t="n"/>
      <c r="J828" s="193" t="n"/>
      <c r="K828" s="193" t="n"/>
      <c r="L828" s="193" t="n"/>
      <c r="M828" s="193" t="n"/>
      <c r="N828" s="193" t="n"/>
      <c r="O828" s="193" t="n"/>
      <c r="P828" s="193" t="n"/>
      <c r="Q828" s="193" t="n"/>
      <c r="R828" s="19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193" t="n"/>
      <c r="C829" s="193" t="n"/>
      <c r="D829" s="193" t="n"/>
      <c r="E829" s="193" t="n"/>
      <c r="F829" s="193" t="n"/>
      <c r="G829" s="193" t="n"/>
      <c r="H829" s="193" t="n"/>
      <c r="I829" s="193" t="n"/>
      <c r="J829" s="193" t="n"/>
      <c r="K829" s="193" t="n"/>
      <c r="L829" s="193" t="n"/>
      <c r="M829" s="193" t="n"/>
      <c r="N829" s="193" t="n"/>
      <c r="O829" s="193" t="n"/>
      <c r="P829" s="193" t="n"/>
      <c r="Q829" s="193" t="n"/>
      <c r="R829" s="19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193" t="n"/>
      <c r="C830" s="193" t="n"/>
      <c r="D830" s="193" t="n"/>
      <c r="E830" s="193" t="n"/>
      <c r="F830" s="193" t="n"/>
      <c r="G830" s="193" t="n"/>
      <c r="H830" s="193" t="n"/>
      <c r="I830" s="193" t="n"/>
      <c r="J830" s="193" t="n"/>
      <c r="K830" s="193" t="n"/>
      <c r="L830" s="193" t="n"/>
      <c r="M830" s="193" t="n"/>
      <c r="N830" s="193" t="n"/>
      <c r="O830" s="193" t="n"/>
      <c r="P830" s="193" t="n"/>
      <c r="Q830" s="193" t="n"/>
      <c r="R830" s="19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193" t="n"/>
      <c r="C831" s="193" t="n"/>
      <c r="D831" s="193" t="n"/>
      <c r="E831" s="193" t="n"/>
      <c r="F831" s="193" t="n"/>
      <c r="G831" s="193" t="n"/>
      <c r="H831" s="193" t="n"/>
      <c r="I831" s="193" t="n"/>
      <c r="J831" s="193" t="n"/>
      <c r="K831" s="193" t="n"/>
      <c r="L831" s="193" t="n"/>
      <c r="M831" s="193" t="n"/>
      <c r="N831" s="193" t="n"/>
      <c r="O831" s="193" t="n"/>
      <c r="P831" s="193" t="n"/>
      <c r="Q831" s="193" t="n"/>
      <c r="R831" s="19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193" t="n"/>
      <c r="C832" s="193" t="n"/>
      <c r="D832" s="193" t="n"/>
      <c r="E832" s="193" t="n"/>
      <c r="F832" s="193" t="n"/>
      <c r="G832" s="193" t="n"/>
      <c r="H832" s="193" t="n"/>
      <c r="I832" s="193" t="n"/>
      <c r="J832" s="193" t="n"/>
      <c r="K832" s="193" t="n"/>
      <c r="L832" s="193" t="n"/>
      <c r="M832" s="193" t="n"/>
      <c r="N832" s="193" t="n"/>
      <c r="O832" s="193" t="n"/>
      <c r="P832" s="193" t="n"/>
      <c r="Q832" s="193" t="n"/>
      <c r="R832" s="19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193" t="n"/>
      <c r="C833" s="193" t="n"/>
      <c r="D833" s="193" t="n"/>
      <c r="E833" s="193" t="n"/>
      <c r="F833" s="193" t="n"/>
      <c r="G833" s="193" t="n"/>
      <c r="H833" s="193" t="n"/>
      <c r="I833" s="193" t="n"/>
      <c r="J833" s="193" t="n"/>
      <c r="K833" s="193" t="n"/>
      <c r="L833" s="193" t="n"/>
      <c r="M833" s="193" t="n"/>
      <c r="N833" s="193" t="n"/>
      <c r="O833" s="193" t="n"/>
      <c r="P833" s="193" t="n"/>
      <c r="Q833" s="193" t="n"/>
      <c r="R833" s="19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193" t="n"/>
      <c r="C834" s="193" t="n"/>
      <c r="D834" s="193" t="n"/>
      <c r="E834" s="193" t="n"/>
      <c r="F834" s="193" t="n"/>
      <c r="G834" s="193" t="n"/>
      <c r="H834" s="193" t="n"/>
      <c r="I834" s="193" t="n"/>
      <c r="J834" s="193" t="n"/>
      <c r="K834" s="193" t="n"/>
      <c r="L834" s="193" t="n"/>
      <c r="M834" s="193" t="n"/>
      <c r="N834" s="193" t="n"/>
      <c r="O834" s="193" t="n"/>
      <c r="P834" s="193" t="n"/>
      <c r="Q834" s="193" t="n"/>
      <c r="R834" s="19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193" t="n"/>
      <c r="C835" s="193" t="n"/>
      <c r="D835" s="193" t="n"/>
      <c r="E835" s="193" t="n"/>
      <c r="F835" s="193" t="n"/>
      <c r="G835" s="193" t="n"/>
      <c r="H835" s="193" t="n"/>
      <c r="I835" s="193" t="n"/>
      <c r="J835" s="193" t="n"/>
      <c r="K835" s="193" t="n"/>
      <c r="L835" s="193" t="n"/>
      <c r="M835" s="193" t="n"/>
      <c r="N835" s="193" t="n"/>
      <c r="O835" s="193" t="n"/>
      <c r="P835" s="193" t="n"/>
      <c r="Q835" s="193" t="n"/>
      <c r="R835" s="19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193" t="n"/>
      <c r="C836" s="193" t="n"/>
      <c r="D836" s="193" t="n"/>
      <c r="E836" s="193" t="n"/>
      <c r="F836" s="193" t="n"/>
      <c r="G836" s="193" t="n"/>
      <c r="H836" s="193" t="n"/>
      <c r="I836" s="193" t="n"/>
      <c r="J836" s="193" t="n"/>
      <c r="K836" s="193" t="n"/>
      <c r="L836" s="193" t="n"/>
      <c r="M836" s="193" t="n"/>
      <c r="N836" s="193" t="n"/>
      <c r="O836" s="193" t="n"/>
      <c r="P836" s="193" t="n"/>
      <c r="Q836" s="193" t="n"/>
      <c r="R836" s="19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193" t="n"/>
      <c r="C837" s="193" t="n"/>
      <c r="D837" s="193" t="n"/>
      <c r="E837" s="193" t="n"/>
      <c r="F837" s="193" t="n"/>
      <c r="G837" s="193" t="n"/>
      <c r="H837" s="193" t="n"/>
      <c r="I837" s="193" t="n"/>
      <c r="J837" s="193" t="n"/>
      <c r="K837" s="193" t="n"/>
      <c r="L837" s="193" t="n"/>
      <c r="M837" s="193" t="n"/>
      <c r="N837" s="193" t="n"/>
      <c r="O837" s="193" t="n"/>
      <c r="P837" s="193" t="n"/>
      <c r="Q837" s="193" t="n"/>
      <c r="R837" s="19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193" t="n"/>
      <c r="C838" s="193" t="n"/>
      <c r="D838" s="193" t="n"/>
      <c r="E838" s="193" t="n"/>
      <c r="F838" s="193" t="n"/>
      <c r="G838" s="193" t="n"/>
      <c r="H838" s="193" t="n"/>
      <c r="I838" s="193" t="n"/>
      <c r="J838" s="193" t="n"/>
      <c r="K838" s="193" t="n"/>
      <c r="L838" s="193" t="n"/>
      <c r="M838" s="193" t="n"/>
      <c r="N838" s="193" t="n"/>
      <c r="O838" s="193" t="n"/>
      <c r="P838" s="193" t="n"/>
      <c r="Q838" s="193" t="n"/>
      <c r="R838" s="19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193" t="n"/>
      <c r="C839" s="193" t="n"/>
      <c r="D839" s="193" t="n"/>
      <c r="E839" s="193" t="n"/>
      <c r="F839" s="193" t="n"/>
      <c r="G839" s="193" t="n"/>
      <c r="H839" s="193" t="n"/>
      <c r="I839" s="193" t="n"/>
      <c r="J839" s="193" t="n"/>
      <c r="K839" s="193" t="n"/>
      <c r="L839" s="193" t="n"/>
      <c r="M839" s="193" t="n"/>
      <c r="N839" s="193" t="n"/>
      <c r="O839" s="193" t="n"/>
      <c r="P839" s="193" t="n"/>
      <c r="Q839" s="193" t="n"/>
      <c r="R839" s="19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193" t="n"/>
      <c r="C840" s="193" t="n"/>
      <c r="D840" s="193" t="n"/>
      <c r="E840" s="193" t="n"/>
      <c r="F840" s="193" t="n"/>
      <c r="G840" s="193" t="n"/>
      <c r="H840" s="193" t="n"/>
      <c r="I840" s="193" t="n"/>
      <c r="J840" s="193" t="n"/>
      <c r="K840" s="193" t="n"/>
      <c r="L840" s="193" t="n"/>
      <c r="M840" s="193" t="n"/>
      <c r="N840" s="193" t="n"/>
      <c r="O840" s="193" t="n"/>
      <c r="P840" s="193" t="n"/>
      <c r="Q840" s="193" t="n"/>
      <c r="R840" s="19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193" t="n"/>
      <c r="C841" s="193" t="n"/>
      <c r="D841" s="193" t="n"/>
      <c r="E841" s="193" t="n"/>
      <c r="F841" s="193" t="n"/>
      <c r="G841" s="193" t="n"/>
      <c r="H841" s="193" t="n"/>
      <c r="I841" s="193" t="n"/>
      <c r="J841" s="193" t="n"/>
      <c r="K841" s="193" t="n"/>
      <c r="L841" s="193" t="n"/>
      <c r="M841" s="193" t="n"/>
      <c r="N841" s="193" t="n"/>
      <c r="O841" s="193" t="n"/>
      <c r="P841" s="193" t="n"/>
      <c r="Q841" s="193" t="n"/>
      <c r="R841" s="19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193" t="n"/>
      <c r="C842" s="193" t="n"/>
      <c r="D842" s="193" t="n"/>
      <c r="E842" s="193" t="n"/>
      <c r="F842" s="193" t="n"/>
      <c r="G842" s="193" t="n"/>
      <c r="H842" s="193" t="n"/>
      <c r="I842" s="193" t="n"/>
      <c r="J842" s="193" t="n"/>
      <c r="K842" s="193" t="n"/>
      <c r="L842" s="193" t="n"/>
      <c r="M842" s="193" t="n"/>
      <c r="N842" s="193" t="n"/>
      <c r="O842" s="193" t="n"/>
      <c r="P842" s="193" t="n"/>
      <c r="Q842" s="193" t="n"/>
      <c r="R842" s="19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193" t="n"/>
      <c r="C843" s="193" t="n"/>
      <c r="D843" s="193" t="n"/>
      <c r="E843" s="193" t="n"/>
      <c r="F843" s="193" t="n"/>
      <c r="G843" s="193" t="n"/>
      <c r="H843" s="193" t="n"/>
      <c r="I843" s="193" t="n"/>
      <c r="J843" s="193" t="n"/>
      <c r="K843" s="193" t="n"/>
      <c r="L843" s="193" t="n"/>
      <c r="M843" s="193" t="n"/>
      <c r="N843" s="193" t="n"/>
      <c r="O843" s="193" t="n"/>
      <c r="P843" s="193" t="n"/>
      <c r="Q843" s="193" t="n"/>
      <c r="R843" s="19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193" t="n"/>
      <c r="C844" s="193" t="n"/>
      <c r="D844" s="193" t="n"/>
      <c r="E844" s="193" t="n"/>
      <c r="F844" s="193" t="n"/>
      <c r="G844" s="193" t="n"/>
      <c r="H844" s="193" t="n"/>
      <c r="I844" s="193" t="n"/>
      <c r="J844" s="193" t="n"/>
      <c r="K844" s="193" t="n"/>
      <c r="L844" s="193" t="n"/>
      <c r="M844" s="193" t="n"/>
      <c r="N844" s="193" t="n"/>
      <c r="O844" s="193" t="n"/>
      <c r="P844" s="193" t="n"/>
      <c r="Q844" s="193" t="n"/>
      <c r="R844" s="19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193" t="n"/>
      <c r="C845" s="193" t="n"/>
      <c r="D845" s="193" t="n"/>
      <c r="E845" s="193" t="n"/>
      <c r="F845" s="193" t="n"/>
      <c r="G845" s="193" t="n"/>
      <c r="H845" s="193" t="n"/>
      <c r="I845" s="193" t="n"/>
      <c r="J845" s="193" t="n"/>
      <c r="K845" s="193" t="n"/>
      <c r="L845" s="193" t="n"/>
      <c r="M845" s="193" t="n"/>
      <c r="N845" s="193" t="n"/>
      <c r="O845" s="193" t="n"/>
      <c r="P845" s="193" t="n"/>
      <c r="Q845" s="193" t="n"/>
      <c r="R845" s="193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193" t="n"/>
      <c r="C846" s="193" t="n"/>
      <c r="D846" s="193" t="n"/>
      <c r="E846" s="193" t="n"/>
      <c r="F846" s="193" t="n"/>
      <c r="G846" s="193" t="n"/>
      <c r="H846" s="193" t="n"/>
      <c r="I846" s="193" t="n"/>
      <c r="J846" s="193" t="n"/>
      <c r="K846" s="193" t="n"/>
      <c r="L846" s="193" t="n"/>
      <c r="M846" s="193" t="n"/>
      <c r="N846" s="193" t="n"/>
      <c r="O846" s="193" t="n"/>
      <c r="P846" s="193" t="n"/>
      <c r="Q846" s="193" t="n"/>
      <c r="R846" s="193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193" t="n"/>
      <c r="C847" s="193" t="n"/>
      <c r="D847" s="193" t="n"/>
      <c r="E847" s="193" t="n"/>
      <c r="F847" s="193" t="n"/>
      <c r="G847" s="193" t="n"/>
      <c r="H847" s="193" t="n"/>
      <c r="I847" s="193" t="n"/>
      <c r="J847" s="193" t="n"/>
      <c r="K847" s="193" t="n"/>
      <c r="L847" s="193" t="n"/>
      <c r="M847" s="193" t="n"/>
      <c r="N847" s="193" t="n"/>
      <c r="O847" s="193" t="n"/>
      <c r="P847" s="193" t="n"/>
      <c r="Q847" s="193" t="n"/>
      <c r="R847" s="193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193" t="n"/>
      <c r="C848" s="193" t="n"/>
      <c r="D848" s="193" t="n"/>
      <c r="E848" s="193" t="n"/>
      <c r="F848" s="193" t="n"/>
      <c r="G848" s="193" t="n"/>
      <c r="H848" s="193" t="n"/>
      <c r="I848" s="193" t="n"/>
      <c r="J848" s="193" t="n"/>
      <c r="K848" s="193" t="n"/>
      <c r="L848" s="193" t="n"/>
      <c r="M848" s="193" t="n"/>
      <c r="N848" s="193" t="n"/>
      <c r="O848" s="193" t="n"/>
      <c r="P848" s="193" t="n"/>
      <c r="Q848" s="193" t="n"/>
      <c r="R848" s="193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193" t="n"/>
      <c r="C849" s="193" t="n"/>
      <c r="D849" s="193" t="n"/>
      <c r="E849" s="193" t="n"/>
      <c r="F849" s="193" t="n"/>
      <c r="G849" s="193" t="n"/>
      <c r="H849" s="193" t="n"/>
      <c r="I849" s="193" t="n"/>
      <c r="J849" s="193" t="n"/>
      <c r="K849" s="193" t="n"/>
      <c r="L849" s="193" t="n"/>
      <c r="M849" s="193" t="n"/>
      <c r="N849" s="193" t="n"/>
      <c r="O849" s="193" t="n"/>
      <c r="P849" s="193" t="n"/>
      <c r="Q849" s="193" t="n"/>
      <c r="R849" s="193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193" t="n"/>
      <c r="C850" s="193" t="n"/>
      <c r="D850" s="193" t="n"/>
      <c r="E850" s="193" t="n"/>
      <c r="F850" s="193" t="n"/>
      <c r="G850" s="193" t="n"/>
      <c r="H850" s="193" t="n"/>
      <c r="I850" s="193" t="n"/>
      <c r="J850" s="193" t="n"/>
      <c r="K850" s="193" t="n"/>
      <c r="L850" s="193" t="n"/>
      <c r="M850" s="193" t="n"/>
      <c r="N850" s="193" t="n"/>
      <c r="O850" s="193" t="n"/>
      <c r="P850" s="193" t="n"/>
      <c r="Q850" s="193" t="n"/>
      <c r="R850" s="193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193" t="n"/>
      <c r="C851" s="193" t="n"/>
      <c r="D851" s="193" t="n"/>
      <c r="E851" s="193" t="n"/>
      <c r="F851" s="193" t="n"/>
      <c r="G851" s="193" t="n"/>
      <c r="H851" s="193" t="n"/>
      <c r="I851" s="193" t="n"/>
      <c r="J851" s="193" t="n"/>
      <c r="K851" s="193" t="n"/>
      <c r="L851" s="193" t="n"/>
      <c r="M851" s="193" t="n"/>
      <c r="N851" s="193" t="n"/>
      <c r="O851" s="193" t="n"/>
      <c r="P851" s="193" t="n"/>
      <c r="Q851" s="193" t="n"/>
      <c r="R851" s="193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193" t="n"/>
      <c r="C852" s="193" t="n"/>
      <c r="D852" s="193" t="n"/>
      <c r="E852" s="193" t="n"/>
      <c r="F852" s="193" t="n"/>
      <c r="G852" s="193" t="n"/>
      <c r="H852" s="193" t="n"/>
      <c r="I852" s="193" t="n"/>
      <c r="J852" s="193" t="n"/>
      <c r="K852" s="193" t="n"/>
      <c r="L852" s="193" t="n"/>
      <c r="M852" s="193" t="n"/>
      <c r="N852" s="193" t="n"/>
      <c r="O852" s="193" t="n"/>
      <c r="P852" s="193" t="n"/>
      <c r="Q852" s="193" t="n"/>
      <c r="R852" s="193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193" t="n"/>
      <c r="C853" s="193" t="n"/>
      <c r="D853" s="193" t="n"/>
      <c r="E853" s="193" t="n"/>
      <c r="F853" s="193" t="n"/>
      <c r="G853" s="193" t="n"/>
      <c r="H853" s="193" t="n"/>
      <c r="I853" s="193" t="n"/>
      <c r="J853" s="193" t="n"/>
      <c r="K853" s="193" t="n"/>
      <c r="L853" s="193" t="n"/>
      <c r="M853" s="193" t="n"/>
      <c r="N853" s="193" t="n"/>
      <c r="O853" s="193" t="n"/>
      <c r="P853" s="193" t="n"/>
      <c r="Q853" s="193" t="n"/>
      <c r="R853" s="193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193" t="n"/>
      <c r="C854" s="193" t="n"/>
      <c r="D854" s="193" t="n"/>
      <c r="E854" s="193" t="n"/>
      <c r="F854" s="193" t="n"/>
      <c r="G854" s="193" t="n"/>
      <c r="H854" s="193" t="n"/>
      <c r="I854" s="193" t="n"/>
      <c r="J854" s="193" t="n"/>
      <c r="K854" s="193" t="n"/>
      <c r="L854" s="193" t="n"/>
      <c r="M854" s="193" t="n"/>
      <c r="N854" s="193" t="n"/>
      <c r="O854" s="193" t="n"/>
      <c r="P854" s="193" t="n"/>
      <c r="Q854" s="193" t="n"/>
      <c r="R854" s="193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193" t="n"/>
      <c r="C855" s="193" t="n"/>
      <c r="D855" s="193" t="n"/>
      <c r="E855" s="193" t="n"/>
      <c r="F855" s="193" t="n"/>
      <c r="G855" s="193" t="n"/>
      <c r="H855" s="193" t="n"/>
      <c r="I855" s="193" t="n"/>
      <c r="J855" s="193" t="n"/>
      <c r="K855" s="193" t="n"/>
      <c r="L855" s="193" t="n"/>
      <c r="M855" s="193" t="n"/>
      <c r="N855" s="193" t="n"/>
      <c r="O855" s="193" t="n"/>
      <c r="P855" s="193" t="n"/>
      <c r="Q855" s="193" t="n"/>
      <c r="R855" s="193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193" t="n"/>
      <c r="C856" s="193" t="n"/>
      <c r="D856" s="193" t="n"/>
      <c r="E856" s="193" t="n"/>
      <c r="F856" s="193" t="n"/>
      <c r="G856" s="193" t="n"/>
      <c r="H856" s="193" t="n"/>
      <c r="I856" s="193" t="n"/>
      <c r="J856" s="193" t="n"/>
      <c r="K856" s="193" t="n"/>
      <c r="L856" s="193" t="n"/>
      <c r="M856" s="193" t="n"/>
      <c r="N856" s="193" t="n"/>
      <c r="O856" s="193" t="n"/>
      <c r="P856" s="193" t="n"/>
      <c r="Q856" s="193" t="n"/>
      <c r="R856" s="193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193" t="n"/>
      <c r="C857" s="193" t="n"/>
      <c r="D857" s="193" t="n"/>
      <c r="E857" s="193" t="n"/>
      <c r="F857" s="193" t="n"/>
      <c r="G857" s="193" t="n"/>
      <c r="H857" s="193" t="n"/>
      <c r="I857" s="193" t="n"/>
      <c r="J857" s="193" t="n"/>
      <c r="K857" s="193" t="n"/>
      <c r="L857" s="193" t="n"/>
      <c r="M857" s="193" t="n"/>
      <c r="N857" s="193" t="n"/>
      <c r="O857" s="193" t="n"/>
      <c r="P857" s="193" t="n"/>
      <c r="Q857" s="193" t="n"/>
      <c r="R857" s="193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193" t="n"/>
      <c r="C858" s="193" t="n"/>
      <c r="D858" s="193" t="n"/>
      <c r="E858" s="193" t="n"/>
      <c r="F858" s="193" t="n"/>
      <c r="G858" s="193" t="n"/>
      <c r="H858" s="193" t="n"/>
      <c r="I858" s="193" t="n"/>
      <c r="J858" s="193" t="n"/>
      <c r="K858" s="193" t="n"/>
      <c r="L858" s="193" t="n"/>
      <c r="M858" s="193" t="n"/>
      <c r="N858" s="193" t="n"/>
      <c r="O858" s="193" t="n"/>
      <c r="P858" s="193" t="n"/>
      <c r="Q858" s="193" t="n"/>
      <c r="R858" s="193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193" t="n"/>
      <c r="C859" s="193" t="n"/>
      <c r="D859" s="193" t="n"/>
      <c r="E859" s="193" t="n"/>
      <c r="F859" s="193" t="n"/>
      <c r="G859" s="193" t="n"/>
      <c r="H859" s="193" t="n"/>
      <c r="I859" s="193" t="n"/>
      <c r="J859" s="193" t="n"/>
      <c r="K859" s="193" t="n"/>
      <c r="L859" s="193" t="n"/>
      <c r="M859" s="193" t="n"/>
      <c r="N859" s="193" t="n"/>
      <c r="O859" s="193" t="n"/>
      <c r="P859" s="193" t="n"/>
      <c r="Q859" s="193" t="n"/>
      <c r="R859" s="193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193" t="n"/>
      <c r="C860" s="193" t="n"/>
      <c r="D860" s="193" t="n"/>
      <c r="E860" s="193" t="n"/>
      <c r="F860" s="193" t="n"/>
      <c r="G860" s="193" t="n"/>
      <c r="H860" s="193" t="n"/>
      <c r="I860" s="193" t="n"/>
      <c r="J860" s="193" t="n"/>
      <c r="K860" s="193" t="n"/>
      <c r="L860" s="193" t="n"/>
      <c r="M860" s="193" t="n"/>
      <c r="N860" s="193" t="n"/>
      <c r="O860" s="193" t="n"/>
      <c r="P860" s="193" t="n"/>
      <c r="Q860" s="193" t="n"/>
      <c r="R860" s="193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193" t="n"/>
      <c r="C861" s="193" t="n"/>
      <c r="D861" s="193" t="n"/>
      <c r="E861" s="193" t="n"/>
      <c r="F861" s="193" t="n"/>
      <c r="G861" s="193" t="n"/>
      <c r="H861" s="193" t="n"/>
      <c r="I861" s="193" t="n"/>
      <c r="J861" s="193" t="n"/>
      <c r="K861" s="193" t="n"/>
      <c r="L861" s="193" t="n"/>
      <c r="M861" s="193" t="n"/>
      <c r="N861" s="193" t="n"/>
      <c r="O861" s="193" t="n"/>
      <c r="P861" s="193" t="n"/>
      <c r="Q861" s="193" t="n"/>
      <c r="R861" s="193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193" t="n"/>
      <c r="C862" s="193" t="n"/>
      <c r="D862" s="193" t="n"/>
      <c r="E862" s="193" t="n"/>
      <c r="F862" s="193" t="n"/>
      <c r="G862" s="193" t="n"/>
      <c r="H862" s="193" t="n"/>
      <c r="I862" s="193" t="n"/>
      <c r="J862" s="193" t="n"/>
      <c r="K862" s="193" t="n"/>
      <c r="L862" s="193" t="n"/>
      <c r="M862" s="193" t="n"/>
      <c r="N862" s="193" t="n"/>
      <c r="O862" s="193" t="n"/>
      <c r="P862" s="193" t="n"/>
      <c r="Q862" s="193" t="n"/>
      <c r="R862" s="193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62"/>
  <mergeCells count="38">
    <mergeCell ref="D10:E10"/>
    <mergeCell ref="F10:G10"/>
    <mergeCell ref="H10:I10"/>
    <mergeCell ref="J14:K14"/>
    <mergeCell ref="J13:K13"/>
    <mergeCell ref="H9:I9"/>
    <mergeCell ref="B12:C12"/>
    <mergeCell ref="A3:R3"/>
    <mergeCell ref="F12:G12"/>
    <mergeCell ref="H13:I13"/>
    <mergeCell ref="A2:R2"/>
    <mergeCell ref="D13:E13"/>
    <mergeCell ref="B14:C14"/>
    <mergeCell ref="H14:I14"/>
    <mergeCell ref="B23:F23"/>
    <mergeCell ref="B8:C8"/>
    <mergeCell ref="A4:R4"/>
    <mergeCell ref="F8:G8"/>
    <mergeCell ref="B13:C13"/>
    <mergeCell ref="B22:Q22"/>
    <mergeCell ref="G23:J23"/>
    <mergeCell ref="B56:Q56"/>
    <mergeCell ref="B10:C10"/>
    <mergeCell ref="F13:G13"/>
    <mergeCell ref="B9:C9"/>
    <mergeCell ref="K23:R23"/>
    <mergeCell ref="D9:E9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6" t="inlineStr">
        <is>
          <t>August 2026</t>
        </is>
      </c>
      <c r="B404" s="196" t="inlineStr">
        <is>
          <t>Support Training</t>
        </is>
      </c>
      <c r="C404" s="196" t="inlineStr">
        <is>
          <t>New Hire batch training</t>
        </is>
      </c>
      <c r="D404" s="196" t="inlineStr">
        <is>
          <t>2026-08-31</t>
        </is>
      </c>
      <c r="E404" s="196" t="inlineStr">
        <is>
          <t>—</t>
        </is>
      </c>
      <c r="F404" s="196" t="inlineStr">
        <is>
          <t>Girish A</t>
        </is>
      </c>
      <c r="G404" s="196" t="inlineStr">
        <is>
          <t>Offline</t>
        </is>
      </c>
      <c r="H404" s="196" t="inlineStr">
        <is>
          <t>New Hire batch training</t>
        </is>
      </c>
      <c r="I404" s="197" t="n">
        <v>6</v>
      </c>
    </row>
    <row r="405" ht="15.75" customHeight="1" s="156">
      <c r="A405" s="194" t="inlineStr">
        <is>
          <t>August 2026</t>
        </is>
      </c>
      <c r="B405" s="194" t="inlineStr">
        <is>
          <t>Other</t>
        </is>
      </c>
      <c r="C405" s="194" t="inlineStr">
        <is>
          <t>varsity tickets</t>
        </is>
      </c>
      <c r="D405" s="194" t="inlineStr">
        <is>
          <t>2026-08-31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varsity tickets</t>
        </is>
      </c>
      <c r="I405" s="195" t="n">
        <v>0.15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2026-09-01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2026-09-02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Support Training</t>
        </is>
      </c>
      <c r="C408" s="194" t="inlineStr">
        <is>
          <t>New Hire batch training</t>
        </is>
      </c>
      <c r="D408" s="194" t="inlineStr">
        <is>
          <t>2026-09-03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New Hire batch training</t>
        </is>
      </c>
      <c r="I408" s="195" t="n">
        <v>6</v>
      </c>
    </row>
    <row r="409" ht="15.75" customHeight="1" s="156">
      <c r="A409" s="194" t="inlineStr">
        <is>
          <t>September 2026</t>
        </is>
      </c>
      <c r="B409" s="194" t="inlineStr">
        <is>
          <t>Support Training</t>
        </is>
      </c>
      <c r="C409" s="194" t="inlineStr">
        <is>
          <t>New Hire batch training</t>
        </is>
      </c>
      <c r="D409" s="194" t="inlineStr">
        <is>
          <t>2026-09-04</t>
        </is>
      </c>
      <c r="E409" s="194" t="inlineStr">
        <is>
          <t>—</t>
        </is>
      </c>
      <c r="F409" s="194" t="inlineStr">
        <is>
          <t>Harish Bhat</t>
        </is>
      </c>
      <c r="G409" s="194" t="inlineStr">
        <is>
          <t>Online</t>
        </is>
      </c>
      <c r="H409" s="194" t="inlineStr">
        <is>
          <t>New Hire batch training</t>
        </is>
      </c>
      <c r="I409" s="195" t="n">
        <v>6</v>
      </c>
    </row>
    <row r="410" ht="15.75" customHeight="1" s="156">
      <c r="A410" s="194" t="inlineStr">
        <is>
          <t>September 2026</t>
        </is>
      </c>
      <c r="B410" s="194" t="inlineStr">
        <is>
          <t>Assessment</t>
        </is>
      </c>
      <c r="C410" s="194" t="inlineStr">
        <is>
          <t>Assesment 2 for New hire training</t>
        </is>
      </c>
      <c r="D410" s="194" t="inlineStr">
        <is>
          <t>2026-09-05</t>
        </is>
      </c>
      <c r="E410" s="194" t="inlineStr">
        <is>
          <t>—</t>
        </is>
      </c>
      <c r="F410" s="194" t="inlineStr">
        <is>
          <t>Harish Bhat</t>
        </is>
      </c>
      <c r="G410" s="194" t="inlineStr">
        <is>
          <t>Online</t>
        </is>
      </c>
      <c r="H410" s="194" t="inlineStr">
        <is>
          <t>Assesment 2 for New hire training</t>
        </is>
      </c>
      <c r="I410" s="195" t="n">
        <v>4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Leadership team - Support (SO )</t>
        </is>
      </c>
      <c r="D411" s="196" t="inlineStr">
        <is>
          <t>2026-09-09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Batch 1 - WFO</t>
        </is>
      </c>
      <c r="I411" s="197" t="n">
        <v>2</v>
      </c>
    </row>
    <row r="412" ht="15.75" customHeight="1" s="156">
      <c r="A412" s="196" t="inlineStr">
        <is>
          <t>September 2026</t>
        </is>
      </c>
      <c r="B412" s="196" t="inlineStr">
        <is>
          <t>Support Training</t>
        </is>
      </c>
      <c r="C412" s="196" t="inlineStr">
        <is>
          <t>Leaderships team(SO)</t>
        </is>
      </c>
      <c r="D412" s="196" t="inlineStr">
        <is>
          <t>2026-09-10</t>
        </is>
      </c>
      <c r="E412" s="196" t="inlineStr">
        <is>
          <t>—</t>
        </is>
      </c>
      <c r="F412" s="196" t="inlineStr">
        <is>
          <t>Freeda Reshma Dsouza</t>
        </is>
      </c>
      <c r="G412" s="196" t="inlineStr">
        <is>
          <t>Offline</t>
        </is>
      </c>
      <c r="H412" s="196" t="inlineStr">
        <is>
          <t>Behavioral training -Batch 2(WFO)</t>
        </is>
      </c>
      <c r="I412" s="197" t="n">
        <v>2</v>
      </c>
    </row>
    <row r="413" ht="15.75" customHeight="1" s="156">
      <c r="A413" s="196" t="inlineStr">
        <is>
          <t>September 2026</t>
        </is>
      </c>
      <c r="B413" s="196" t="inlineStr">
        <is>
          <t>Support Training</t>
        </is>
      </c>
      <c r="C413" s="196" t="inlineStr">
        <is>
          <t>Behavioral training - Mangers SO</t>
        </is>
      </c>
      <c r="D413" s="196" t="inlineStr">
        <is>
          <t>2026-09-16</t>
        </is>
      </c>
      <c r="E413" s="196" t="inlineStr">
        <is>
          <t>—</t>
        </is>
      </c>
      <c r="F413" s="196" t="inlineStr">
        <is>
          <t>Freeda Reshma Dsouza</t>
        </is>
      </c>
      <c r="G413" s="196" t="inlineStr">
        <is>
          <t>Offline</t>
        </is>
      </c>
      <c r="H413" s="196" t="inlineStr">
        <is>
          <t>Behavioral training - Mangers SO</t>
        </is>
      </c>
      <c r="I413" s="197" t="n">
        <v>3</v>
      </c>
    </row>
    <row r="414" ht="15.75" customHeight="1" s="156">
      <c r="A414" s="194" t="inlineStr">
        <is>
          <t>September 2026</t>
        </is>
      </c>
      <c r="B414" s="194" t="inlineStr">
        <is>
          <t>Support Training</t>
        </is>
      </c>
      <c r="C414" s="194" t="inlineStr">
        <is>
          <t>Behavioral training - Mangers SO</t>
        </is>
      </c>
      <c r="D414" s="194" t="inlineStr">
        <is>
          <t>2026-09-17</t>
        </is>
      </c>
      <c r="E414" s="194" t="inlineStr">
        <is>
          <t>—</t>
        </is>
      </c>
      <c r="F414" s="194" t="inlineStr">
        <is>
          <t>Freeda Reshma Dsouza</t>
        </is>
      </c>
      <c r="G414" s="194" t="inlineStr">
        <is>
          <t>Online</t>
        </is>
      </c>
      <c r="H414" s="194" t="inlineStr">
        <is>
          <t>Behavioral training - Mangers SO</t>
        </is>
      </c>
      <c r="I414" s="195" t="n">
        <v>3.25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2026-09-07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2026-09-08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2026-09-09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2026-09-10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2026-09-11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2026-09-14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2026-09-15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2026-09-16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2026-09-17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2026-09-18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2026-09-21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2026-09-22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2026-09-23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2026-09-24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2026-09-25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2026-09-28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2026-09-29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6" t="inlineStr">
        <is>
          <t>September 2026</t>
        </is>
      </c>
      <c r="B432" s="196" t="inlineStr">
        <is>
          <t>Support Training</t>
        </is>
      </c>
      <c r="C432" s="196" t="inlineStr">
        <is>
          <t>New hire batch training (OJT)</t>
        </is>
      </c>
      <c r="D432" s="196" t="inlineStr">
        <is>
          <t>2026-09-30</t>
        </is>
      </c>
      <c r="E432" s="196" t="inlineStr">
        <is>
          <t>—</t>
        </is>
      </c>
      <c r="F432" s="196" t="inlineStr">
        <is>
          <t>Harish Bhat</t>
        </is>
      </c>
      <c r="G432" s="196" t="inlineStr">
        <is>
          <t>Offline</t>
        </is>
      </c>
      <c r="H432" s="196" t="inlineStr">
        <is>
          <t>New hire batch training (OJT)</t>
        </is>
      </c>
      <c r="I432" s="197" t="n">
        <v>6</v>
      </c>
    </row>
    <row r="433" ht="15.75" customHeight="1" s="156">
      <c r="A433" s="194" t="inlineStr">
        <is>
          <t>September 2026</t>
        </is>
      </c>
      <c r="B433" s="194" t="inlineStr">
        <is>
          <t>Support Training</t>
        </is>
      </c>
      <c r="C433" s="194" t="inlineStr">
        <is>
          <t>New hire batch training (OJT)</t>
        </is>
      </c>
      <c r="D433" s="194" t="inlineStr">
        <is>
          <t>2026-09-19</t>
        </is>
      </c>
      <c r="E433" s="194" t="inlineStr">
        <is>
          <t>—</t>
        </is>
      </c>
      <c r="F433" s="194" t="inlineStr">
        <is>
          <t>Harish Bhat</t>
        </is>
      </c>
      <c r="G433" s="194" t="inlineStr">
        <is>
          <t>Online</t>
        </is>
      </c>
      <c r="H433" s="194" t="inlineStr">
        <is>
          <t>New hire batch training (OJT)</t>
        </is>
      </c>
      <c r="I433" s="195" t="n">
        <v>4</v>
      </c>
    </row>
    <row r="434" ht="15.75" customHeight="1" s="156">
      <c r="A434" s="196" t="inlineStr">
        <is>
          <t>September 2026</t>
        </is>
      </c>
      <c r="B434" s="196" t="inlineStr">
        <is>
          <t>Support Training</t>
        </is>
      </c>
      <c r="C434" s="196" t="inlineStr">
        <is>
          <t>New Hire batch training</t>
        </is>
      </c>
      <c r="D434" s="196" t="inlineStr">
        <is>
          <t>2026-09-03</t>
        </is>
      </c>
      <c r="E434" s="196" t="inlineStr">
        <is>
          <t>—</t>
        </is>
      </c>
      <c r="F434" s="196" t="inlineStr">
        <is>
          <t>Girish A</t>
        </is>
      </c>
      <c r="G434" s="196" t="inlineStr">
        <is>
          <t>Offline</t>
        </is>
      </c>
      <c r="H434" s="196" t="inlineStr">
        <is>
          <t>New Hire batch training</t>
        </is>
      </c>
      <c r="I434" s="197" t="n">
        <v>6</v>
      </c>
    </row>
    <row r="435" ht="15.75" customHeight="1" s="156">
      <c r="A435" s="194" t="inlineStr">
        <is>
          <t>September 2026</t>
        </is>
      </c>
      <c r="B435" s="194" t="inlineStr">
        <is>
          <t>Support Training</t>
        </is>
      </c>
      <c r="C435" s="194" t="inlineStr">
        <is>
          <t>Assesment 2 for New hire training</t>
        </is>
      </c>
      <c r="D435" s="194" t="inlineStr">
        <is>
          <t>2026-09-05</t>
        </is>
      </c>
      <c r="E435" s="194" t="inlineStr">
        <is>
          <t>—</t>
        </is>
      </c>
      <c r="F435" s="194" t="inlineStr">
        <is>
          <t>Girish A</t>
        </is>
      </c>
      <c r="G435" s="194" t="inlineStr">
        <is>
          <t>Online</t>
        </is>
      </c>
      <c r="H435" s="194" t="inlineStr">
        <is>
          <t>Assesment 2 for New hire training</t>
        </is>
      </c>
      <c r="I435" s="195" t="n">
        <v>4</v>
      </c>
    </row>
    <row r="436" ht="15.75" customHeight="1" s="156">
      <c r="A436" s="196" t="inlineStr">
        <is>
          <t>September 2026</t>
        </is>
      </c>
      <c r="B436" s="196" t="inlineStr">
        <is>
          <t>Support Training</t>
        </is>
      </c>
      <c r="C436" s="196" t="inlineStr">
        <is>
          <t>New Hire batch training</t>
        </is>
      </c>
      <c r="D436" s="196" t="inlineStr">
        <is>
          <t>2026-09-01</t>
        </is>
      </c>
      <c r="E436" s="196" t="inlineStr">
        <is>
          <t>—</t>
        </is>
      </c>
      <c r="F436" s="196" t="inlineStr">
        <is>
          <t>Girish A</t>
        </is>
      </c>
      <c r="G436" s="196" t="inlineStr">
        <is>
          <t>Offline</t>
        </is>
      </c>
      <c r="H436" s="196" t="inlineStr">
        <is>
          <t>New Hire batch training</t>
        </is>
      </c>
      <c r="I436" s="197" t="n">
        <v>4</v>
      </c>
    </row>
    <row r="437" ht="15.75" customHeight="1" s="156">
      <c r="A437" s="194" t="inlineStr">
        <is>
          <t>September 2026</t>
        </is>
      </c>
      <c r="B437" s="194" t="inlineStr">
        <is>
          <t>Other</t>
        </is>
      </c>
      <c r="C437" s="194" t="inlineStr">
        <is>
          <t>Preparing QIP Assessment questions</t>
        </is>
      </c>
      <c r="D437" s="194" t="inlineStr">
        <is>
          <t>2026-09-01</t>
        </is>
      </c>
      <c r="E437" s="194" t="inlineStr">
        <is>
          <t>—</t>
        </is>
      </c>
      <c r="F437" s="194" t="inlineStr">
        <is>
          <t>Girish A</t>
        </is>
      </c>
      <c r="G437" s="194" t="inlineStr">
        <is>
          <t>Online</t>
        </is>
      </c>
      <c r="H437" s="194" t="inlineStr">
        <is>
          <t>Preparing QIP Assessment questions</t>
        </is>
      </c>
      <c r="I437" s="195" t="n">
        <v>2</v>
      </c>
    </row>
    <row r="438" ht="15.75" customHeight="1" s="156">
      <c r="A438" s="194" t="inlineStr">
        <is>
          <t>September 2026</t>
        </is>
      </c>
      <c r="B438" s="194" t="inlineStr">
        <is>
          <t>Support Training</t>
        </is>
      </c>
      <c r="C438" s="194" t="inlineStr">
        <is>
          <t>Preparing QIP Assessment questions</t>
        </is>
      </c>
      <c r="D438" s="194" t="inlineStr">
        <is>
          <t>2026-09-02</t>
        </is>
      </c>
      <c r="E438" s="194" t="inlineStr">
        <is>
          <t>—</t>
        </is>
      </c>
      <c r="F438" s="194" t="inlineStr">
        <is>
          <t>Girish A</t>
        </is>
      </c>
      <c r="G438" s="194" t="inlineStr">
        <is>
          <t>Online</t>
        </is>
      </c>
      <c r="H438" s="194" t="inlineStr">
        <is>
          <t>Preparing QIP Assessment questions</t>
        </is>
      </c>
      <c r="I438" s="195" t="n">
        <v>2</v>
      </c>
    </row>
    <row r="439" ht="15.75" customHeight="1" s="156">
      <c r="A439" s="196" t="inlineStr">
        <is>
          <t>September 2026</t>
        </is>
      </c>
      <c r="B439" s="196" t="inlineStr">
        <is>
          <t>Support Training</t>
        </is>
      </c>
      <c r="C439" s="196" t="inlineStr">
        <is>
          <t>New Hire batch training</t>
        </is>
      </c>
      <c r="D439" s="196" t="inlineStr">
        <is>
          <t>2026-09-02</t>
        </is>
      </c>
      <c r="E439" s="196" t="inlineStr">
        <is>
          <t>—</t>
        </is>
      </c>
      <c r="F439" s="196" t="inlineStr">
        <is>
          <t>Girish A</t>
        </is>
      </c>
      <c r="G439" s="196" t="inlineStr">
        <is>
          <t>Offline</t>
        </is>
      </c>
      <c r="H439" s="196" t="inlineStr">
        <is>
          <t>New Hire batch training</t>
        </is>
      </c>
      <c r="I439" s="197" t="n">
        <v>4</v>
      </c>
    </row>
    <row r="440" ht="15.75" customHeight="1" s="156">
      <c r="A440" s="196" t="inlineStr">
        <is>
          <t>September 2026</t>
        </is>
      </c>
      <c r="B440" s="196" t="inlineStr">
        <is>
          <t>Support Training</t>
        </is>
      </c>
      <c r="C440" s="196" t="inlineStr">
        <is>
          <t>New hire batch training (OJT)</t>
        </is>
      </c>
      <c r="D440" s="196" t="inlineStr">
        <is>
          <t>2026-09-07</t>
        </is>
      </c>
      <c r="E440" s="196" t="inlineStr">
        <is>
          <t>—</t>
        </is>
      </c>
      <c r="F440" s="196" t="inlineStr">
        <is>
          <t>Girish A</t>
        </is>
      </c>
      <c r="G440" s="196" t="inlineStr">
        <is>
          <t>Offline</t>
        </is>
      </c>
      <c r="H440" s="196" t="inlineStr">
        <is>
          <t>New hire batch training (OJT)</t>
        </is>
      </c>
      <c r="I440" s="197" t="n">
        <v>4</v>
      </c>
    </row>
    <row r="441" ht="15.75" customHeight="1" s="156">
      <c r="A441" s="196" t="inlineStr">
        <is>
          <t>September 2026</t>
        </is>
      </c>
      <c r="B441" s="196" t="inlineStr">
        <is>
          <t>Support Training</t>
        </is>
      </c>
      <c r="C441" s="196" t="inlineStr">
        <is>
          <t>New hire batch training (OJT)</t>
        </is>
      </c>
      <c r="D441" s="196" t="inlineStr">
        <is>
          <t>2026-09-08</t>
        </is>
      </c>
      <c r="E441" s="196" t="inlineStr">
        <is>
          <t>—</t>
        </is>
      </c>
      <c r="F441" s="196" t="inlineStr">
        <is>
          <t>Girish A</t>
        </is>
      </c>
      <c r="G441" s="196" t="inlineStr">
        <is>
          <t>Offline</t>
        </is>
      </c>
      <c r="H441" s="196" t="inlineStr">
        <is>
          <t>New hire batch training (OJT)</t>
        </is>
      </c>
      <c r="I441" s="197" t="n">
        <v>4</v>
      </c>
    </row>
    <row r="442" ht="15.75" customHeight="1" s="156">
      <c r="A442" s="196" t="inlineStr">
        <is>
          <t>September 2026</t>
        </is>
      </c>
      <c r="B442" s="196" t="inlineStr">
        <is>
          <t>Support Training</t>
        </is>
      </c>
      <c r="C442" s="196" t="inlineStr">
        <is>
          <t>New hire batch training (OJT)</t>
        </is>
      </c>
      <c r="D442" s="196" t="inlineStr">
        <is>
          <t>2026-09-09</t>
        </is>
      </c>
      <c r="E442" s="196" t="inlineStr">
        <is>
          <t>—</t>
        </is>
      </c>
      <c r="F442" s="196" t="inlineStr">
        <is>
          <t>Girish A</t>
        </is>
      </c>
      <c r="G442" s="196" t="inlineStr">
        <is>
          <t>Offline</t>
        </is>
      </c>
      <c r="H442" s="196" t="inlineStr">
        <is>
          <t>New hire batch training (OJT)</t>
        </is>
      </c>
      <c r="I442" s="197" t="n">
        <v>4</v>
      </c>
    </row>
    <row r="443" ht="15.75" customHeight="1" s="156">
      <c r="A443" s="196" t="inlineStr">
        <is>
          <t>September 2026</t>
        </is>
      </c>
      <c r="B443" s="196" t="inlineStr">
        <is>
          <t>Support Training</t>
        </is>
      </c>
      <c r="C443" s="196" t="inlineStr">
        <is>
          <t>New hire batch training (OJT)</t>
        </is>
      </c>
      <c r="D443" s="196" t="inlineStr">
        <is>
          <t>2026-09-10</t>
        </is>
      </c>
      <c r="E443" s="196" t="inlineStr">
        <is>
          <t>—</t>
        </is>
      </c>
      <c r="F443" s="196" t="inlineStr">
        <is>
          <t>Girish A</t>
        </is>
      </c>
      <c r="G443" s="196" t="inlineStr">
        <is>
          <t>Offline</t>
        </is>
      </c>
      <c r="H443" s="196" t="inlineStr">
        <is>
          <t>New hire batch training (OJT)</t>
        </is>
      </c>
      <c r="I443" s="197" t="n">
        <v>4</v>
      </c>
    </row>
    <row r="444" ht="15.75" customHeight="1" s="156">
      <c r="A444" s="196" t="inlineStr">
        <is>
          <t>September 2026</t>
        </is>
      </c>
      <c r="B444" s="196" t="inlineStr">
        <is>
          <t>Support Training</t>
        </is>
      </c>
      <c r="C444" s="196" t="inlineStr">
        <is>
          <t>New hire batch training (OJT)</t>
        </is>
      </c>
      <c r="D444" s="196" t="inlineStr">
        <is>
          <t>2026-09-11</t>
        </is>
      </c>
      <c r="E444" s="196" t="inlineStr">
        <is>
          <t>—</t>
        </is>
      </c>
      <c r="F444" s="196" t="inlineStr">
        <is>
          <t>Girish A</t>
        </is>
      </c>
      <c r="G444" s="196" t="inlineStr">
        <is>
          <t>Offline</t>
        </is>
      </c>
      <c r="H444" s="196" t="inlineStr">
        <is>
          <t>New hire batch training (OJT)</t>
        </is>
      </c>
      <c r="I444" s="197" t="n">
        <v>4</v>
      </c>
    </row>
    <row r="445" ht="15.75" customHeight="1" s="156">
      <c r="A445" s="194" t="inlineStr">
        <is>
          <t>September 2026</t>
        </is>
      </c>
      <c r="B445" s="194" t="inlineStr">
        <is>
          <t>Other</t>
        </is>
      </c>
      <c r="C445" s="194" t="inlineStr">
        <is>
          <t>QIP Agent feedback</t>
        </is>
      </c>
      <c r="D445" s="194" t="inlineStr">
        <is>
          <t>2026-09-08</t>
        </is>
      </c>
      <c r="E445" s="194" t="inlineStr">
        <is>
          <t>—</t>
        </is>
      </c>
      <c r="F445" s="194" t="inlineStr">
        <is>
          <t>Girish A</t>
        </is>
      </c>
      <c r="G445" s="194" t="inlineStr">
        <is>
          <t>Online</t>
        </is>
      </c>
      <c r="H445" s="194" t="inlineStr">
        <is>
          <t>QIP Agent feedback</t>
        </is>
      </c>
      <c r="I445" s="195" t="n">
        <v>2</v>
      </c>
    </row>
    <row r="446" ht="15.75" customHeight="1" s="156">
      <c r="A446" s="194" t="inlineStr">
        <is>
          <t>September 2026</t>
        </is>
      </c>
      <c r="B446" s="194" t="inlineStr">
        <is>
          <t>Other</t>
        </is>
      </c>
      <c r="C446" s="194" t="inlineStr">
        <is>
          <t>QIP Agent feedback</t>
        </is>
      </c>
      <c r="D446" s="194" t="inlineStr">
        <is>
          <t>2026-09-10</t>
        </is>
      </c>
      <c r="E446" s="194" t="inlineStr">
        <is>
          <t>—</t>
        </is>
      </c>
      <c r="F446" s="194" t="inlineStr">
        <is>
          <t>Girish A</t>
        </is>
      </c>
      <c r="G446" s="194" t="inlineStr">
        <is>
          <t>Online</t>
        </is>
      </c>
      <c r="H446" s="194" t="inlineStr">
        <is>
          <t>QIP Agent feedback</t>
        </is>
      </c>
      <c r="I446" s="195" t="n">
        <v>1</v>
      </c>
    </row>
    <row r="447" ht="15.75" customHeight="1" s="156">
      <c r="A447" s="194" t="inlineStr">
        <is>
          <t>September 2026</t>
        </is>
      </c>
      <c r="B447" s="194" t="inlineStr">
        <is>
          <t>Other</t>
        </is>
      </c>
      <c r="C447" s="194" t="inlineStr">
        <is>
          <t>QIP Agent feedback</t>
        </is>
      </c>
      <c r="D447" s="194" t="inlineStr">
        <is>
          <t>2026-09-15</t>
        </is>
      </c>
      <c r="E447" s="194" t="inlineStr">
        <is>
          <t>—</t>
        </is>
      </c>
      <c r="F447" s="194" t="inlineStr">
        <is>
          <t>Girish A</t>
        </is>
      </c>
      <c r="G447" s="194" t="inlineStr">
        <is>
          <t>Online</t>
        </is>
      </c>
      <c r="H447" s="194" t="inlineStr">
        <is>
          <t>QIP Agent feedback</t>
        </is>
      </c>
      <c r="I447" s="195" t="n">
        <v>1</v>
      </c>
    </row>
    <row r="448" ht="15.75" customHeight="1" s="156">
      <c r="A448" s="194" t="inlineStr">
        <is>
          <t>September 2026</t>
        </is>
      </c>
      <c r="B448" s="194" t="inlineStr">
        <is>
          <t>Other</t>
        </is>
      </c>
      <c r="C448" s="194" t="inlineStr">
        <is>
          <t>QIP Agent feedback</t>
        </is>
      </c>
      <c r="D448" s="194" t="inlineStr">
        <is>
          <t>2026-09-16</t>
        </is>
      </c>
      <c r="E448" s="194" t="inlineStr">
        <is>
          <t>—</t>
        </is>
      </c>
      <c r="F448" s="194" t="inlineStr">
        <is>
          <t>Girish A</t>
        </is>
      </c>
      <c r="G448" s="194" t="inlineStr">
        <is>
          <t>Online</t>
        </is>
      </c>
      <c r="H448" s="194" t="inlineStr">
        <is>
          <t>QIP Agent feedback</t>
        </is>
      </c>
      <c r="I448" s="195" t="n">
        <v>1</v>
      </c>
    </row>
    <row r="449" ht="15.75" customHeight="1" s="156">
      <c r="A449" s="196" t="inlineStr">
        <is>
          <t>September 2026</t>
        </is>
      </c>
      <c r="B449" s="196" t="inlineStr">
        <is>
          <t>Support Training</t>
        </is>
      </c>
      <c r="C449" s="196" t="inlineStr">
        <is>
          <t>New hire batch training (OJT)</t>
        </is>
      </c>
      <c r="D449" s="196" t="inlineStr">
        <is>
          <t>2026-09-14</t>
        </is>
      </c>
      <c r="E449" s="196" t="inlineStr">
        <is>
          <t>—</t>
        </is>
      </c>
      <c r="F449" s="196" t="inlineStr">
        <is>
          <t>Girish A</t>
        </is>
      </c>
      <c r="G449" s="196" t="inlineStr">
        <is>
          <t>Offline</t>
        </is>
      </c>
      <c r="H449" s="196" t="inlineStr">
        <is>
          <t>New hire batch training (OJT)</t>
        </is>
      </c>
      <c r="I449" s="197" t="n">
        <v>6</v>
      </c>
    </row>
    <row r="450" ht="15.75" customHeight="1" s="156">
      <c r="A450" s="194" t="inlineStr">
        <is>
          <t>September 2026</t>
        </is>
      </c>
      <c r="B450" s="194" t="inlineStr">
        <is>
          <t>Support Training</t>
        </is>
      </c>
      <c r="C450" s="194" t="inlineStr">
        <is>
          <t>New hire batch training (OJT)</t>
        </is>
      </c>
      <c r="D450" s="194" t="inlineStr">
        <is>
          <t>2026-09-15</t>
        </is>
      </c>
      <c r="E450" s="194" t="inlineStr">
        <is>
          <t>—</t>
        </is>
      </c>
      <c r="F450" s="194" t="inlineStr">
        <is>
          <t>Girish A</t>
        </is>
      </c>
      <c r="G450" s="194" t="inlineStr">
        <is>
          <t>Online</t>
        </is>
      </c>
      <c r="H450" s="194" t="inlineStr">
        <is>
          <t>New hire batch training (OJT)</t>
        </is>
      </c>
      <c r="I450" s="195" t="n">
        <v>5</v>
      </c>
    </row>
    <row r="451" ht="15.75" customHeight="1" s="156">
      <c r="A451" s="196" t="inlineStr">
        <is>
          <t>September 2026</t>
        </is>
      </c>
      <c r="B451" s="196" t="inlineStr">
        <is>
          <t>Support Training</t>
        </is>
      </c>
      <c r="C451" s="196" t="inlineStr">
        <is>
          <t>New hire batch training (OJT)</t>
        </is>
      </c>
      <c r="D451" s="196" t="inlineStr">
        <is>
          <t>2026-09-18</t>
        </is>
      </c>
      <c r="E451" s="196" t="inlineStr">
        <is>
          <t>—</t>
        </is>
      </c>
      <c r="F451" s="196" t="inlineStr">
        <is>
          <t>Girish A</t>
        </is>
      </c>
      <c r="G451" s="196" t="inlineStr">
        <is>
          <t>Offline</t>
        </is>
      </c>
      <c r="H451" s="196" t="inlineStr">
        <is>
          <t>New hire batch training (OJT)</t>
        </is>
      </c>
      <c r="I451" s="197" t="n">
        <v>6</v>
      </c>
    </row>
    <row r="452" ht="15.75" customHeight="1" s="156">
      <c r="A452" s="194" t="inlineStr">
        <is>
          <t>September 2026</t>
        </is>
      </c>
      <c r="B452" s="194" t="inlineStr">
        <is>
          <t>Support Training</t>
        </is>
      </c>
      <c r="C452" s="194" t="inlineStr">
        <is>
          <t>New hire batch training (OJT)</t>
        </is>
      </c>
      <c r="D452" s="194" t="inlineStr">
        <is>
          <t>2026-09-19</t>
        </is>
      </c>
      <c r="E452" s="194" t="inlineStr">
        <is>
          <t>—</t>
        </is>
      </c>
      <c r="F452" s="194" t="inlineStr">
        <is>
          <t>Girish A</t>
        </is>
      </c>
      <c r="G452" s="194" t="inlineStr">
        <is>
          <t>Online</t>
        </is>
      </c>
      <c r="H452" s="194" t="inlineStr">
        <is>
          <t>New hire batch training (OJT)</t>
        </is>
      </c>
      <c r="I452" s="195" t="n">
        <v>4</v>
      </c>
    </row>
    <row r="453" ht="15.75" customHeight="1" s="156">
      <c r="A453" s="196" t="inlineStr">
        <is>
          <t>September 2026</t>
        </is>
      </c>
      <c r="B453" s="196" t="inlineStr">
        <is>
          <t>Support Training</t>
        </is>
      </c>
      <c r="C453" s="196" t="inlineStr">
        <is>
          <t>New hire batch training (OJT)</t>
        </is>
      </c>
      <c r="D453" s="196" t="inlineStr">
        <is>
          <t>2026-09-17</t>
        </is>
      </c>
      <c r="E453" s="196" t="inlineStr">
        <is>
          <t>—</t>
        </is>
      </c>
      <c r="F453" s="196" t="inlineStr">
        <is>
          <t>Girish A</t>
        </is>
      </c>
      <c r="G453" s="196" t="inlineStr">
        <is>
          <t>Offline</t>
        </is>
      </c>
      <c r="H453" s="196" t="inlineStr">
        <is>
          <t>New hire batch training (OJT)</t>
        </is>
      </c>
      <c r="I453" s="197" t="n">
        <v>3</v>
      </c>
    </row>
    <row r="454" ht="15.75" customHeight="1" s="156">
      <c r="A454" s="194" t="inlineStr">
        <is>
          <t>September 2026</t>
        </is>
      </c>
      <c r="B454" s="194" t="inlineStr">
        <is>
          <t>Assessment</t>
        </is>
      </c>
      <c r="C454" s="194" t="inlineStr">
        <is>
          <t>QIP Mock Call session</t>
        </is>
      </c>
      <c r="D454" s="194" t="inlineStr">
        <is>
          <t>2026-09-17</t>
        </is>
      </c>
      <c r="E454" s="194" t="inlineStr">
        <is>
          <t>—</t>
        </is>
      </c>
      <c r="F454" s="194" t="inlineStr">
        <is>
          <t>Girish A</t>
        </is>
      </c>
      <c r="G454" s="194" t="inlineStr">
        <is>
          <t>Online</t>
        </is>
      </c>
      <c r="H454" s="194" t="inlineStr">
        <is>
          <t>QIP Mock Call session</t>
        </is>
      </c>
      <c r="I454" s="195" t="n">
        <v>1</v>
      </c>
    </row>
    <row r="455" ht="15.75" customHeight="1" s="156">
      <c r="A455" s="196" t="inlineStr">
        <is>
          <t>September 2026</t>
        </is>
      </c>
      <c r="B455" s="196" t="inlineStr">
        <is>
          <t>Support Training</t>
        </is>
      </c>
      <c r="C455" s="196" t="inlineStr">
        <is>
          <t>New hire batch training (OJT)</t>
        </is>
      </c>
      <c r="D455" s="196" t="inlineStr">
        <is>
          <t>2026-09-21</t>
        </is>
      </c>
      <c r="E455" s="196" t="inlineStr">
        <is>
          <t>—</t>
        </is>
      </c>
      <c r="F455" s="196" t="inlineStr">
        <is>
          <t>Girish A</t>
        </is>
      </c>
      <c r="G455" s="196" t="inlineStr">
        <is>
          <t>Offline</t>
        </is>
      </c>
      <c r="H455" s="196" t="inlineStr">
        <is>
          <t>New hire batch training (OJT)</t>
        </is>
      </c>
      <c r="I455" s="197" t="n">
        <v>6</v>
      </c>
    </row>
    <row r="456" ht="15.75" customHeight="1" s="156">
      <c r="A456" s="196" t="inlineStr">
        <is>
          <t>September 2026</t>
        </is>
      </c>
      <c r="B456" s="196" t="inlineStr">
        <is>
          <t>Support Training</t>
        </is>
      </c>
      <c r="C456" s="196" t="inlineStr">
        <is>
          <t>New hire batch training (OJT)</t>
        </is>
      </c>
      <c r="D456" s="196" t="inlineStr">
        <is>
          <t>2026-09-22</t>
        </is>
      </c>
      <c r="E456" s="196" t="inlineStr">
        <is>
          <t>—</t>
        </is>
      </c>
      <c r="F456" s="196" t="inlineStr">
        <is>
          <t>Girish A</t>
        </is>
      </c>
      <c r="G456" s="196" t="inlineStr">
        <is>
          <t>Offline</t>
        </is>
      </c>
      <c r="H456" s="196" t="inlineStr">
        <is>
          <t>New hire batch training (OJT)</t>
        </is>
      </c>
      <c r="I456" s="197" t="n">
        <v>6</v>
      </c>
    </row>
    <row r="457" ht="15.75" customHeight="1" s="156">
      <c r="A457" s="196" t="inlineStr">
        <is>
          <t>September 2026</t>
        </is>
      </c>
      <c r="B457" s="196" t="inlineStr">
        <is>
          <t>Support Training</t>
        </is>
      </c>
      <c r="C457" s="196" t="inlineStr">
        <is>
          <t>New hire batch training (OJT)</t>
        </is>
      </c>
      <c r="D457" s="196" t="inlineStr">
        <is>
          <t>2026-09-23</t>
        </is>
      </c>
      <c r="E457" s="196" t="inlineStr">
        <is>
          <t>—</t>
        </is>
      </c>
      <c r="F457" s="196" t="inlineStr">
        <is>
          <t>Girish A</t>
        </is>
      </c>
      <c r="G457" s="196" t="inlineStr">
        <is>
          <t>Offline</t>
        </is>
      </c>
      <c r="H457" s="196" t="inlineStr">
        <is>
          <t>New hire batch training (OJT)</t>
        </is>
      </c>
      <c r="I457" s="197" t="n">
        <v>6</v>
      </c>
    </row>
    <row r="458" ht="15.75" customHeight="1" s="156">
      <c r="A458" s="196" t="inlineStr">
        <is>
          <t>September 2026</t>
        </is>
      </c>
      <c r="B458" s="196" t="inlineStr">
        <is>
          <t>Support Training</t>
        </is>
      </c>
      <c r="C458" s="196" t="inlineStr">
        <is>
          <t>New hire batch training (OJT)</t>
        </is>
      </c>
      <c r="D458" s="196" t="inlineStr">
        <is>
          <t>2026-09-24</t>
        </is>
      </c>
      <c r="E458" s="196" t="inlineStr">
        <is>
          <t>—</t>
        </is>
      </c>
      <c r="F458" s="196" t="inlineStr">
        <is>
          <t>Girish A</t>
        </is>
      </c>
      <c r="G458" s="196" t="inlineStr">
        <is>
          <t>Offline</t>
        </is>
      </c>
      <c r="H458" s="196" t="inlineStr">
        <is>
          <t>New hire batch training (OJT)</t>
        </is>
      </c>
      <c r="I458" s="197" t="n">
        <v>6</v>
      </c>
    </row>
    <row r="459" ht="15.75" customHeight="1" s="156">
      <c r="A459" s="196" t="inlineStr">
        <is>
          <t>September 2026</t>
        </is>
      </c>
      <c r="B459" s="196" t="inlineStr">
        <is>
          <t>Support Training</t>
        </is>
      </c>
      <c r="C459" s="196" t="inlineStr">
        <is>
          <t>New hire batch training (OJT)</t>
        </is>
      </c>
      <c r="D459" s="196" t="inlineStr">
        <is>
          <t>2026-09-25</t>
        </is>
      </c>
      <c r="E459" s="196" t="inlineStr">
        <is>
          <t>—</t>
        </is>
      </c>
      <c r="F459" s="196" t="inlineStr">
        <is>
          <t>Girish A</t>
        </is>
      </c>
      <c r="G459" s="196" t="inlineStr">
        <is>
          <t>Offline</t>
        </is>
      </c>
      <c r="H459" s="196" t="inlineStr">
        <is>
          <t>New hire batch training (OJT)</t>
        </is>
      </c>
      <c r="I459" s="197" t="n">
        <v>6</v>
      </c>
    </row>
    <row r="460" ht="15.75" customHeight="1" s="156">
      <c r="A460" s="196" t="inlineStr">
        <is>
          <t>September 2026</t>
        </is>
      </c>
      <c r="B460" s="196" t="inlineStr">
        <is>
          <t>Support Training</t>
        </is>
      </c>
      <c r="C460" s="196" t="inlineStr">
        <is>
          <t>New hire batch training (OJT)</t>
        </is>
      </c>
      <c r="D460" s="196" t="inlineStr">
        <is>
          <t>2026-09-28</t>
        </is>
      </c>
      <c r="E460" s="196" t="inlineStr">
        <is>
          <t>—</t>
        </is>
      </c>
      <c r="F460" s="196" t="inlineStr">
        <is>
          <t>Girish A</t>
        </is>
      </c>
      <c r="G460" s="196" t="inlineStr">
        <is>
          <t>Offline</t>
        </is>
      </c>
      <c r="H460" s="196" t="inlineStr">
        <is>
          <t>New hire batch training (OJT)</t>
        </is>
      </c>
      <c r="I460" s="197" t="n">
        <v>6</v>
      </c>
    </row>
    <row r="461" ht="15.75" customHeight="1" s="156">
      <c r="A461" s="196" t="inlineStr">
        <is>
          <t>September 2026</t>
        </is>
      </c>
      <c r="B461" s="196" t="inlineStr">
        <is>
          <t>Support Training</t>
        </is>
      </c>
      <c r="C461" s="196" t="inlineStr">
        <is>
          <t>New hire batch training (OJT)</t>
        </is>
      </c>
      <c r="D461" s="196" t="inlineStr">
        <is>
          <t>2026-09-29</t>
        </is>
      </c>
      <c r="E461" s="196" t="inlineStr">
        <is>
          <t>—</t>
        </is>
      </c>
      <c r="F461" s="196" t="inlineStr">
        <is>
          <t>Girish A</t>
        </is>
      </c>
      <c r="G461" s="196" t="inlineStr">
        <is>
          <t>Offline</t>
        </is>
      </c>
      <c r="H461" s="196" t="inlineStr">
        <is>
          <t>New hire batch training (OJT)</t>
        </is>
      </c>
      <c r="I461" s="197" t="n">
        <v>6</v>
      </c>
    </row>
    <row r="462" ht="15.75" customHeight="1" s="156">
      <c r="A462" s="196" t="inlineStr">
        <is>
          <t>September 2026</t>
        </is>
      </c>
      <c r="B462" s="196" t="inlineStr">
        <is>
          <t>Support Training</t>
        </is>
      </c>
      <c r="C462" s="196" t="inlineStr">
        <is>
          <t>New hire batch training (OJT)</t>
        </is>
      </c>
      <c r="D462" s="196" t="inlineStr">
        <is>
          <t>2026-09-30</t>
        </is>
      </c>
      <c r="E462" s="196" t="inlineStr">
        <is>
          <t>—</t>
        </is>
      </c>
      <c r="F462" s="196" t="inlineStr">
        <is>
          <t>Girish A</t>
        </is>
      </c>
      <c r="G462" s="196" t="inlineStr">
        <is>
          <t>Offline</t>
        </is>
      </c>
      <c r="H462" s="196" t="inlineStr">
        <is>
          <t>New hire batch training (OJT)</t>
        </is>
      </c>
      <c r="I462" s="197" t="n">
        <v>6</v>
      </c>
    </row>
    <row r="463" ht="15.75" customHeight="1" s="156">
      <c r="A463" s="194" t="inlineStr">
        <is>
          <t>September 2026</t>
        </is>
      </c>
      <c r="B463" s="194" t="inlineStr">
        <is>
          <t>Support Training</t>
        </is>
      </c>
      <c r="C463" s="194" t="inlineStr">
        <is>
          <t>QA feedback training Module preparation</t>
        </is>
      </c>
      <c r="D463" s="194" t="inlineStr">
        <is>
          <t>2026-09-21</t>
        </is>
      </c>
      <c r="E463" s="194" t="inlineStr">
        <is>
          <t>—</t>
        </is>
      </c>
      <c r="F463" s="194" t="inlineStr">
        <is>
          <t>Freeda Reshma Dsouza</t>
        </is>
      </c>
      <c r="G463" s="194" t="inlineStr">
        <is>
          <t>Online</t>
        </is>
      </c>
      <c r="H463" s="194" t="inlineStr">
        <is>
          <t>QA feedback training Module preparation</t>
        </is>
      </c>
      <c r="I463" s="195" t="n">
        <v>4</v>
      </c>
    </row>
    <row r="464" ht="15.75" customHeight="1" s="156">
      <c r="A464" s="194" t="inlineStr">
        <is>
          <t>September 2026</t>
        </is>
      </c>
      <c r="B464" s="194" t="inlineStr">
        <is>
          <t>Support Training</t>
        </is>
      </c>
      <c r="C464" s="194" t="inlineStr">
        <is>
          <t>QA feedback training Module preparation</t>
        </is>
      </c>
      <c r="D464" s="194" t="inlineStr">
        <is>
          <t>2026-09-22</t>
        </is>
      </c>
      <c r="E464" s="194" t="inlineStr">
        <is>
          <t>—</t>
        </is>
      </c>
      <c r="F464" s="194" t="inlineStr">
        <is>
          <t>Freeda Reshma Dsouza</t>
        </is>
      </c>
      <c r="G464" s="194" t="inlineStr">
        <is>
          <t>Online</t>
        </is>
      </c>
      <c r="H464" s="194" t="inlineStr">
        <is>
          <t>QA feedback training Module preparation</t>
        </is>
      </c>
      <c r="I464" s="195" t="n">
        <v>2</v>
      </c>
    </row>
    <row r="465" ht="15.75" customHeight="1" s="156">
      <c r="A465" s="194" t="inlineStr">
        <is>
          <t>September 2026</t>
        </is>
      </c>
      <c r="B465" s="194" t="inlineStr">
        <is>
          <t>Support Training</t>
        </is>
      </c>
      <c r="C465" s="194" t="inlineStr">
        <is>
          <t>Managers 360 assessment testing</t>
        </is>
      </c>
      <c r="D465" s="194" t="inlineStr">
        <is>
          <t>2026-09-25</t>
        </is>
      </c>
      <c r="E465" s="194" t="inlineStr">
        <is>
          <t>—</t>
        </is>
      </c>
      <c r="F465" s="194" t="inlineStr">
        <is>
          <t>Freeda Reshma Dsouza</t>
        </is>
      </c>
      <c r="G465" s="194" t="inlineStr">
        <is>
          <t>Online</t>
        </is>
      </c>
      <c r="H465" s="194" t="inlineStr">
        <is>
          <t>Managers 360 assessment testing</t>
        </is>
      </c>
      <c r="I465" s="195" t="n">
        <v>6.5</v>
      </c>
    </row>
    <row r="466" ht="15.75" customHeight="1" s="156">
      <c r="A466" s="194" t="inlineStr">
        <is>
          <t>September 2026</t>
        </is>
      </c>
      <c r="B466" s="194" t="inlineStr">
        <is>
          <t>Support Training</t>
        </is>
      </c>
      <c r="C466" s="194" t="inlineStr">
        <is>
          <t>AML &amp; unsolicited SMS &amp; tips session</t>
        </is>
      </c>
      <c r="D466" s="194" t="inlineStr">
        <is>
          <t>2026-09-16</t>
        </is>
      </c>
      <c r="E466" s="194" t="inlineStr">
        <is>
          <t>—</t>
        </is>
      </c>
      <c r="F466" s="194" t="inlineStr">
        <is>
          <t>Harish Bhat</t>
        </is>
      </c>
      <c r="G466" s="194" t="inlineStr">
        <is>
          <t>Online</t>
        </is>
      </c>
      <c r="H466" s="194" t="inlineStr">
        <is>
          <t>AML &amp; unsolicited SMS &amp; tips session</t>
        </is>
      </c>
      <c r="I466" s="195" t="n">
        <v>1</v>
      </c>
    </row>
    <row r="467" ht="15.75" customHeight="1" s="156">
      <c r="A467" s="194" t="inlineStr">
        <is>
          <t>September 2026</t>
        </is>
      </c>
      <c r="B467" s="194" t="inlineStr">
        <is>
          <t>Support Training</t>
        </is>
      </c>
      <c r="C467" s="194" t="inlineStr">
        <is>
          <t>3L Session</t>
        </is>
      </c>
      <c r="D467" s="194" t="inlineStr">
        <is>
          <t>2026-09-28</t>
        </is>
      </c>
      <c r="E467" s="194" t="inlineStr">
        <is>
          <t>—</t>
        </is>
      </c>
      <c r="F467" s="194" t="inlineStr">
        <is>
          <t>Harish Bhat</t>
        </is>
      </c>
      <c r="G467" s="194" t="inlineStr">
        <is>
          <t>Online</t>
        </is>
      </c>
      <c r="H467" s="194" t="inlineStr">
        <is>
          <t>3L Session</t>
        </is>
      </c>
      <c r="I467" s="195" t="n">
        <v>1</v>
      </c>
    </row>
    <row r="468" ht="15.75" customHeight="1" s="156">
      <c r="A468" s="194" t="inlineStr">
        <is>
          <t>September 2026</t>
        </is>
      </c>
      <c r="B468" s="194" t="inlineStr">
        <is>
          <t>Assessment</t>
        </is>
      </c>
      <c r="C468" s="194" t="inlineStr">
        <is>
          <t>QIP Final Assessment</t>
        </is>
      </c>
      <c r="D468" s="194" t="inlineStr">
        <is>
          <t>2026-09-04</t>
        </is>
      </c>
      <c r="E468" s="194" t="inlineStr">
        <is>
          <t>—</t>
        </is>
      </c>
      <c r="F468" s="194" t="inlineStr">
        <is>
          <t>Girish A</t>
        </is>
      </c>
      <c r="G468" s="194" t="inlineStr">
        <is>
          <t>Online</t>
        </is>
      </c>
      <c r="H468" s="194" t="inlineStr">
        <is>
          <t>QIP Final Assessment</t>
        </is>
      </c>
      <c r="I468" s="195" t="n">
        <v>1</v>
      </c>
    </row>
    <row r="469" ht="15.75" customHeight="1" s="156">
      <c r="A469" s="196" t="inlineStr">
        <is>
          <t>September 2026</t>
        </is>
      </c>
      <c r="B469" s="196" t="inlineStr">
        <is>
          <t>Support Training</t>
        </is>
      </c>
      <c r="C469" s="196" t="inlineStr">
        <is>
          <t>New Hire batch training</t>
        </is>
      </c>
      <c r="D469" s="196" t="inlineStr">
        <is>
          <t>2026-09-04</t>
        </is>
      </c>
      <c r="E469" s="196" t="inlineStr">
        <is>
          <t>—</t>
        </is>
      </c>
      <c r="F469" s="196" t="inlineStr">
        <is>
          <t>Girish A</t>
        </is>
      </c>
      <c r="G469" s="196" t="inlineStr">
        <is>
          <t>Offline</t>
        </is>
      </c>
      <c r="H469" s="196" t="inlineStr">
        <is>
          <t>New Hire batch training</t>
        </is>
      </c>
      <c r="I469" s="197" t="n">
        <v>5</v>
      </c>
    </row>
    <row r="470" ht="15.75" customHeight="1" s="156">
      <c r="A470" s="194" t="inlineStr">
        <is>
          <t>September 2026</t>
        </is>
      </c>
      <c r="B470" s="194" t="inlineStr">
        <is>
          <t>Other</t>
        </is>
      </c>
      <c r="C470" s="194" t="inlineStr">
        <is>
          <t>varsity tickets</t>
        </is>
      </c>
      <c r="D470" s="194" t="inlineStr">
        <is>
          <t>2026-09-01</t>
        </is>
      </c>
      <c r="E470" s="194" t="inlineStr">
        <is>
          <t>—</t>
        </is>
      </c>
      <c r="F470" s="194" t="inlineStr">
        <is>
          <t>Harish Bhat</t>
        </is>
      </c>
      <c r="G470" s="194" t="inlineStr">
        <is>
          <t>Online</t>
        </is>
      </c>
      <c r="H470" s="194" t="inlineStr">
        <is>
          <t>varsity tickets</t>
        </is>
      </c>
      <c r="I470" s="195" t="n">
        <v>0.15</v>
      </c>
    </row>
    <row r="471" ht="15.75" customHeight="1" s="156">
      <c r="A471" s="194" t="inlineStr">
        <is>
          <t>September 2026</t>
        </is>
      </c>
      <c r="B471" s="194" t="inlineStr">
        <is>
          <t>Other</t>
        </is>
      </c>
      <c r="C471" s="194" t="inlineStr">
        <is>
          <t>varsity tickets</t>
        </is>
      </c>
      <c r="D471" s="194" t="inlineStr">
        <is>
          <t>2026-09-02</t>
        </is>
      </c>
      <c r="E471" s="194" t="inlineStr">
        <is>
          <t>—</t>
        </is>
      </c>
      <c r="F471" s="194" t="inlineStr">
        <is>
          <t>Harish Bhat</t>
        </is>
      </c>
      <c r="G471" s="194" t="inlineStr">
        <is>
          <t>Online</t>
        </is>
      </c>
      <c r="H471" s="194" t="inlineStr">
        <is>
          <t>varsity tickets</t>
        </is>
      </c>
      <c r="I471" s="195" t="n">
        <v>0.15</v>
      </c>
    </row>
    <row r="472" ht="15.75" customHeight="1" s="156">
      <c r="A472" s="194" t="inlineStr">
        <is>
          <t>September 2026</t>
        </is>
      </c>
      <c r="B472" s="194" t="inlineStr">
        <is>
          <t>Other</t>
        </is>
      </c>
      <c r="C472" s="194" t="inlineStr">
        <is>
          <t>varsity tickets</t>
        </is>
      </c>
      <c r="D472" s="194" t="inlineStr">
        <is>
          <t>2026-09-03</t>
        </is>
      </c>
      <c r="E472" s="194" t="inlineStr">
        <is>
          <t>—</t>
        </is>
      </c>
      <c r="F472" s="194" t="inlineStr">
        <is>
          <t>Harish Bhat</t>
        </is>
      </c>
      <c r="G472" s="194" t="inlineStr">
        <is>
          <t>Online</t>
        </is>
      </c>
      <c r="H472" s="194" t="inlineStr">
        <is>
          <t>varsity tickets</t>
        </is>
      </c>
      <c r="I472" s="195" t="n">
        <v>0.15</v>
      </c>
    </row>
    <row r="473" ht="15.75" customHeight="1" s="156">
      <c r="A473" s="194" t="inlineStr">
        <is>
          <t>September 2026</t>
        </is>
      </c>
      <c r="B473" s="194" t="inlineStr">
        <is>
          <t>Other</t>
        </is>
      </c>
      <c r="C473" s="194" t="inlineStr">
        <is>
          <t>varsity tickets</t>
        </is>
      </c>
      <c r="D473" s="194" t="inlineStr">
        <is>
          <t>2026-09-04</t>
        </is>
      </c>
      <c r="E473" s="194" t="inlineStr">
        <is>
          <t>—</t>
        </is>
      </c>
      <c r="F473" s="194" t="inlineStr">
        <is>
          <t>Harish Bhat</t>
        </is>
      </c>
      <c r="G473" s="194" t="inlineStr">
        <is>
          <t>Online</t>
        </is>
      </c>
      <c r="H473" s="194" t="inlineStr">
        <is>
          <t>varsity tickets</t>
        </is>
      </c>
      <c r="I473" s="195" t="n">
        <v>0.15</v>
      </c>
    </row>
    <row r="474" ht="15.75" customHeight="1" s="156">
      <c r="A474" s="194" t="inlineStr">
        <is>
          <t>September 2026</t>
        </is>
      </c>
      <c r="B474" s="194" t="inlineStr">
        <is>
          <t>Other</t>
        </is>
      </c>
      <c r="C474" s="194" t="inlineStr">
        <is>
          <t>varsity tickets</t>
        </is>
      </c>
      <c r="D474" s="194" t="inlineStr">
        <is>
          <t>2026-09-07</t>
        </is>
      </c>
      <c r="E474" s="194" t="inlineStr">
        <is>
          <t>—</t>
        </is>
      </c>
      <c r="F474" s="194" t="inlineStr">
        <is>
          <t>Harish Bhat</t>
        </is>
      </c>
      <c r="G474" s="194" t="inlineStr">
        <is>
          <t>Online</t>
        </is>
      </c>
      <c r="H474" s="194" t="inlineStr">
        <is>
          <t>varsity tickets</t>
        </is>
      </c>
      <c r="I474" s="195" t="n">
        <v>0.15</v>
      </c>
    </row>
    <row r="475" ht="15.75" customHeight="1" s="156">
      <c r="A475" s="194" t="inlineStr">
        <is>
          <t>September 2026</t>
        </is>
      </c>
      <c r="B475" s="194" t="inlineStr">
        <is>
          <t>Other</t>
        </is>
      </c>
      <c r="C475" s="194" t="inlineStr">
        <is>
          <t>varsity tickets</t>
        </is>
      </c>
      <c r="D475" s="194" t="inlineStr">
        <is>
          <t>2026-09-08</t>
        </is>
      </c>
      <c r="E475" s="194" t="inlineStr">
        <is>
          <t>—</t>
        </is>
      </c>
      <c r="F475" s="194" t="inlineStr">
        <is>
          <t>Harish Bhat</t>
        </is>
      </c>
      <c r="G475" s="194" t="inlineStr">
        <is>
          <t>Online</t>
        </is>
      </c>
      <c r="H475" s="194" t="inlineStr">
        <is>
          <t>varsity tickets</t>
        </is>
      </c>
      <c r="I475" s="195" t="n">
        <v>0.15</v>
      </c>
    </row>
    <row r="476" ht="15.75" customHeight="1" s="156">
      <c r="A476" s="194" t="inlineStr">
        <is>
          <t>September 2026</t>
        </is>
      </c>
      <c r="B476" s="194" t="inlineStr">
        <is>
          <t>Other</t>
        </is>
      </c>
      <c r="C476" s="194" t="inlineStr">
        <is>
          <t>varsity tickets</t>
        </is>
      </c>
      <c r="D476" s="194" t="inlineStr">
        <is>
          <t>2026-09-09</t>
        </is>
      </c>
      <c r="E476" s="194" t="inlineStr">
        <is>
          <t>—</t>
        </is>
      </c>
      <c r="F476" s="194" t="inlineStr">
        <is>
          <t>Harish Bhat</t>
        </is>
      </c>
      <c r="G476" s="194" t="inlineStr">
        <is>
          <t>Online</t>
        </is>
      </c>
      <c r="H476" s="194" t="inlineStr">
        <is>
          <t>varsity tickets</t>
        </is>
      </c>
      <c r="I476" s="195" t="n">
        <v>0.15</v>
      </c>
    </row>
    <row r="477" ht="15.75" customHeight="1" s="156">
      <c r="A477" s="194" t="inlineStr">
        <is>
          <t>September 2026</t>
        </is>
      </c>
      <c r="B477" s="194" t="inlineStr">
        <is>
          <t>Other</t>
        </is>
      </c>
      <c r="C477" s="194" t="inlineStr">
        <is>
          <t>varsity tickets</t>
        </is>
      </c>
      <c r="D477" s="194" t="inlineStr">
        <is>
          <t>2026-09-10</t>
        </is>
      </c>
      <c r="E477" s="194" t="inlineStr">
        <is>
          <t>—</t>
        </is>
      </c>
      <c r="F477" s="194" t="inlineStr">
        <is>
          <t>Harish Bhat</t>
        </is>
      </c>
      <c r="G477" s="194" t="inlineStr">
        <is>
          <t>Online</t>
        </is>
      </c>
      <c r="H477" s="194" t="inlineStr">
        <is>
          <t>varsity tickets</t>
        </is>
      </c>
      <c r="I477" s="195" t="n">
        <v>0.15</v>
      </c>
    </row>
    <row r="478" ht="15.75" customHeight="1" s="156">
      <c r="A478" s="194" t="inlineStr">
        <is>
          <t>September 2026</t>
        </is>
      </c>
      <c r="B478" s="194" t="inlineStr">
        <is>
          <t>Other</t>
        </is>
      </c>
      <c r="C478" s="194" t="inlineStr">
        <is>
          <t>varsity tickets</t>
        </is>
      </c>
      <c r="D478" s="194" t="inlineStr">
        <is>
          <t>2026-09-11</t>
        </is>
      </c>
      <c r="E478" s="194" t="inlineStr">
        <is>
          <t>—</t>
        </is>
      </c>
      <c r="F478" s="194" t="inlineStr">
        <is>
          <t>Harish Bhat</t>
        </is>
      </c>
      <c r="G478" s="194" t="inlineStr">
        <is>
          <t>Online</t>
        </is>
      </c>
      <c r="H478" s="194" t="inlineStr">
        <is>
          <t>varsity tickets</t>
        </is>
      </c>
      <c r="I478" s="195" t="n">
        <v>0.15</v>
      </c>
    </row>
    <row r="479" ht="15.75" customHeight="1" s="156">
      <c r="A479" s="194" t="inlineStr">
        <is>
          <t>September 2026</t>
        </is>
      </c>
      <c r="B479" s="194" t="inlineStr">
        <is>
          <t>Other</t>
        </is>
      </c>
      <c r="C479" s="194" t="inlineStr">
        <is>
          <t>3L (Listen, Learn, Lead)</t>
        </is>
      </c>
      <c r="D479" s="194" t="inlineStr">
        <is>
          <t>2026-09-28</t>
        </is>
      </c>
      <c r="E479" s="194" t="inlineStr">
        <is>
          <t>—</t>
        </is>
      </c>
      <c r="F479" s="194" t="inlineStr">
        <is>
          <t>Girish A</t>
        </is>
      </c>
      <c r="G479" s="194" t="inlineStr">
        <is>
          <t>Online</t>
        </is>
      </c>
      <c r="H479" s="194" t="inlineStr">
        <is>
          <t>3L (Listen, Learn, Lead)</t>
        </is>
      </c>
      <c r="I479" s="195" t="n">
        <v>0.45</v>
      </c>
    </row>
    <row r="480" ht="15.75" customHeight="1" s="156">
      <c r="A480" s="194" t="inlineStr">
        <is>
          <t>September 2026</t>
        </is>
      </c>
      <c r="B480" s="194" t="inlineStr">
        <is>
          <t>Other</t>
        </is>
      </c>
      <c r="C480" s="194" t="inlineStr">
        <is>
          <t>3L (Listen, Learn, Lead)</t>
        </is>
      </c>
      <c r="D480" s="194" t="inlineStr">
        <is>
          <t>2026-09-29</t>
        </is>
      </c>
      <c r="E480" s="194" t="inlineStr">
        <is>
          <t>—</t>
        </is>
      </c>
      <c r="F480" s="194" t="inlineStr">
        <is>
          <t>Girish A</t>
        </is>
      </c>
      <c r="G480" s="194" t="inlineStr">
        <is>
          <t>Online</t>
        </is>
      </c>
      <c r="H480" s="194" t="inlineStr">
        <is>
          <t>3L (Listen, Learn, Lead)</t>
        </is>
      </c>
      <c r="I480" s="195" t="n">
        <v>0.3</v>
      </c>
    </row>
    <row r="481" ht="15.75" customHeight="1" s="156">
      <c r="A481" s="196" t="inlineStr">
        <is>
          <t>September 2026</t>
        </is>
      </c>
      <c r="B481" s="196" t="inlineStr">
        <is>
          <t>Other</t>
        </is>
      </c>
      <c r="C481" s="196" t="inlineStr">
        <is>
          <t>varsity tickets</t>
        </is>
      </c>
      <c r="D481" s="196" t="inlineStr">
        <is>
          <t>2026-09-14</t>
        </is>
      </c>
      <c r="E481" s="196" t="inlineStr">
        <is>
          <t>—</t>
        </is>
      </c>
      <c r="F481" s="196" t="inlineStr">
        <is>
          <t>Harish Bhat</t>
        </is>
      </c>
      <c r="G481" s="196" t="inlineStr">
        <is>
          <t>Offline</t>
        </is>
      </c>
      <c r="H481" s="196" t="inlineStr">
        <is>
          <t>varsity tickets</t>
        </is>
      </c>
      <c r="I481" s="197" t="n">
        <v>0.15</v>
      </c>
    </row>
    <row r="482" ht="15.75" customHeight="1" s="156">
      <c r="A482" s="196" t="inlineStr">
        <is>
          <t>September 2026</t>
        </is>
      </c>
      <c r="B482" s="196" t="inlineStr">
        <is>
          <t>Other</t>
        </is>
      </c>
      <c r="C482" s="196" t="inlineStr">
        <is>
          <t>varsity tickets</t>
        </is>
      </c>
      <c r="D482" s="196" t="inlineStr">
        <is>
          <t>2026-09-15</t>
        </is>
      </c>
      <c r="E482" s="196" t="inlineStr">
        <is>
          <t>—</t>
        </is>
      </c>
      <c r="F482" s="196" t="inlineStr">
        <is>
          <t>Harish Bhat</t>
        </is>
      </c>
      <c r="G482" s="196" t="inlineStr">
        <is>
          <t>Offline</t>
        </is>
      </c>
      <c r="H482" s="196" t="inlineStr">
        <is>
          <t>varsity tickets</t>
        </is>
      </c>
      <c r="I482" s="197" t="n">
        <v>0.15</v>
      </c>
    </row>
    <row r="483" ht="15.75" customHeight="1" s="156">
      <c r="A483" s="196" t="inlineStr">
        <is>
          <t>September 2026</t>
        </is>
      </c>
      <c r="B483" s="196" t="inlineStr">
        <is>
          <t>Other</t>
        </is>
      </c>
      <c r="C483" s="196" t="inlineStr">
        <is>
          <t>varsity tickets</t>
        </is>
      </c>
      <c r="D483" s="196" t="inlineStr">
        <is>
          <t>2026-09-16</t>
        </is>
      </c>
      <c r="E483" s="196" t="inlineStr">
        <is>
          <t>—</t>
        </is>
      </c>
      <c r="F483" s="196" t="inlineStr">
        <is>
          <t>Harish Bhat</t>
        </is>
      </c>
      <c r="G483" s="196" t="inlineStr">
        <is>
          <t>Offline</t>
        </is>
      </c>
      <c r="H483" s="196" t="inlineStr">
        <is>
          <t>varsity tickets</t>
        </is>
      </c>
      <c r="I483" s="197" t="n">
        <v>0.15</v>
      </c>
    </row>
    <row r="484" ht="15.75" customHeight="1" s="156">
      <c r="A484" s="196" t="inlineStr">
        <is>
          <t>September 2026</t>
        </is>
      </c>
      <c r="B484" s="196" t="inlineStr">
        <is>
          <t>Other</t>
        </is>
      </c>
      <c r="C484" s="196" t="inlineStr">
        <is>
          <t>varsity tickets</t>
        </is>
      </c>
      <c r="D484" s="196" t="inlineStr">
        <is>
          <t>2026-09-17</t>
        </is>
      </c>
      <c r="E484" s="196" t="inlineStr">
        <is>
          <t>—</t>
        </is>
      </c>
      <c r="F484" s="196" t="inlineStr">
        <is>
          <t>Harish Bhat</t>
        </is>
      </c>
      <c r="G484" s="196" t="inlineStr">
        <is>
          <t>Offline</t>
        </is>
      </c>
      <c r="H484" s="196" t="inlineStr">
        <is>
          <t>varsity tickets</t>
        </is>
      </c>
      <c r="I484" s="197" t="n">
        <v>0.15</v>
      </c>
    </row>
    <row r="485" ht="15.75" customHeight="1" s="156">
      <c r="A485" s="196" t="inlineStr">
        <is>
          <t>September 2026</t>
        </is>
      </c>
      <c r="B485" s="196" t="inlineStr">
        <is>
          <t>Other</t>
        </is>
      </c>
      <c r="C485" s="196" t="inlineStr">
        <is>
          <t>varsity tickets</t>
        </is>
      </c>
      <c r="D485" s="196" t="inlineStr">
        <is>
          <t>2026-09-18</t>
        </is>
      </c>
      <c r="E485" s="196" t="inlineStr">
        <is>
          <t>—</t>
        </is>
      </c>
      <c r="F485" s="196" t="inlineStr">
        <is>
          <t>Harish Bhat</t>
        </is>
      </c>
      <c r="G485" s="196" t="inlineStr">
        <is>
          <t>Offline</t>
        </is>
      </c>
      <c r="H485" s="196" t="inlineStr">
        <is>
          <t>varsity tickets</t>
        </is>
      </c>
      <c r="I485" s="197" t="n">
        <v>0.15</v>
      </c>
    </row>
    <row r="486" ht="15.75" customHeight="1" s="156">
      <c r="A486" s="194" t="inlineStr">
        <is>
          <t>September 2026</t>
        </is>
      </c>
      <c r="B486" s="194" t="inlineStr">
        <is>
          <t>Other</t>
        </is>
      </c>
      <c r="C486" s="194" t="inlineStr">
        <is>
          <t>varsity tickets</t>
        </is>
      </c>
      <c r="D486" s="194" t="inlineStr">
        <is>
          <t>2026-09-21</t>
        </is>
      </c>
      <c r="E486" s="194" t="inlineStr">
        <is>
          <t>—</t>
        </is>
      </c>
      <c r="F486" s="194" t="inlineStr">
        <is>
          <t>Harish Bhat</t>
        </is>
      </c>
      <c r="G486" s="194" t="inlineStr">
        <is>
          <t>Online</t>
        </is>
      </c>
      <c r="H486" s="194" t="inlineStr">
        <is>
          <t>varsity tickets</t>
        </is>
      </c>
      <c r="I486" s="195" t="n">
        <v>0.15</v>
      </c>
    </row>
    <row r="487" ht="15.75" customHeight="1" s="156">
      <c r="A487" s="194" t="inlineStr">
        <is>
          <t>September 2026</t>
        </is>
      </c>
      <c r="B487" s="194" t="inlineStr">
        <is>
          <t>Other</t>
        </is>
      </c>
      <c r="C487" s="194" t="inlineStr">
        <is>
          <t>varsity tickets</t>
        </is>
      </c>
      <c r="D487" s="194" t="inlineStr">
        <is>
          <t>2026-09-22</t>
        </is>
      </c>
      <c r="E487" s="194" t="inlineStr">
        <is>
          <t>—</t>
        </is>
      </c>
      <c r="F487" s="194" t="inlineStr">
        <is>
          <t>Harish Bhat</t>
        </is>
      </c>
      <c r="G487" s="194" t="inlineStr">
        <is>
          <t>Online</t>
        </is>
      </c>
      <c r="H487" s="194" t="inlineStr">
        <is>
          <t>varsity tickets</t>
        </is>
      </c>
      <c r="I487" s="195" t="n">
        <v>0.15</v>
      </c>
    </row>
    <row r="488" ht="15.75" customHeight="1" s="156">
      <c r="A488" s="194" t="inlineStr">
        <is>
          <t>September 2026</t>
        </is>
      </c>
      <c r="B488" s="194" t="inlineStr">
        <is>
          <t>Other</t>
        </is>
      </c>
      <c r="C488" s="194" t="inlineStr">
        <is>
          <t>varsity tickets</t>
        </is>
      </c>
      <c r="D488" s="194" t="inlineStr">
        <is>
          <t>2026-09-23</t>
        </is>
      </c>
      <c r="E488" s="194" t="inlineStr">
        <is>
          <t>—</t>
        </is>
      </c>
      <c r="F488" s="194" t="inlineStr">
        <is>
          <t>Harish Bhat</t>
        </is>
      </c>
      <c r="G488" s="194" t="inlineStr">
        <is>
          <t>Online</t>
        </is>
      </c>
      <c r="H488" s="194" t="inlineStr">
        <is>
          <t>varsity tickets</t>
        </is>
      </c>
      <c r="I488" s="195" t="n">
        <v>0.15</v>
      </c>
    </row>
    <row r="489" ht="15.75" customHeight="1" s="156">
      <c r="A489" s="194" t="inlineStr">
        <is>
          <t>September 2026</t>
        </is>
      </c>
      <c r="B489" s="194" t="inlineStr">
        <is>
          <t>Other</t>
        </is>
      </c>
      <c r="C489" s="194" t="inlineStr">
        <is>
          <t>varsity tickets</t>
        </is>
      </c>
      <c r="D489" s="194" t="inlineStr">
        <is>
          <t>2026-09-24</t>
        </is>
      </c>
      <c r="E489" s="194" t="inlineStr">
        <is>
          <t>—</t>
        </is>
      </c>
      <c r="F489" s="194" t="inlineStr">
        <is>
          <t>Harish Bhat</t>
        </is>
      </c>
      <c r="G489" s="194" t="inlineStr">
        <is>
          <t>Online</t>
        </is>
      </c>
      <c r="H489" s="194" t="inlineStr">
        <is>
          <t>varsity tickets</t>
        </is>
      </c>
      <c r="I489" s="195" t="n">
        <v>0.15</v>
      </c>
    </row>
    <row r="490" ht="15.75" customHeight="1" s="156">
      <c r="A490" s="194" t="inlineStr">
        <is>
          <t>September 2026</t>
        </is>
      </c>
      <c r="B490" s="194" t="inlineStr">
        <is>
          <t>Other</t>
        </is>
      </c>
      <c r="C490" s="194" t="inlineStr">
        <is>
          <t>varsity tickets</t>
        </is>
      </c>
      <c r="D490" s="194" t="inlineStr">
        <is>
          <t>2026-09-25</t>
        </is>
      </c>
      <c r="E490" s="194" t="inlineStr">
        <is>
          <t>—</t>
        </is>
      </c>
      <c r="F490" s="194" t="inlineStr">
        <is>
          <t>Harish Bhat</t>
        </is>
      </c>
      <c r="G490" s="194" t="inlineStr">
        <is>
          <t>Online</t>
        </is>
      </c>
      <c r="H490" s="194" t="inlineStr">
        <is>
          <t>varsity tickets</t>
        </is>
      </c>
      <c r="I490" s="195" t="n">
        <v>0.15</v>
      </c>
    </row>
    <row r="491" ht="15.75" customHeight="1" s="156">
      <c r="A491" s="196" t="inlineStr">
        <is>
          <t>September 2026</t>
        </is>
      </c>
      <c r="B491" s="196" t="inlineStr">
        <is>
          <t>Support Training</t>
        </is>
      </c>
      <c r="C491" s="196" t="inlineStr">
        <is>
          <t>New hire batch training (OJT)</t>
        </is>
      </c>
      <c r="D491" s="196" t="inlineStr">
        <is>
          <t>2026-09-16</t>
        </is>
      </c>
      <c r="E491" s="196" t="inlineStr">
        <is>
          <t>—</t>
        </is>
      </c>
      <c r="F491" s="196" t="inlineStr">
        <is>
          <t>Girish A</t>
        </is>
      </c>
      <c r="G491" s="196" t="inlineStr">
        <is>
          <t>Offline</t>
        </is>
      </c>
      <c r="H491" s="196" t="inlineStr">
        <is>
          <t>New hire batch training (OJT)</t>
        </is>
      </c>
      <c r="I491" s="197" t="n">
        <v>4</v>
      </c>
    </row>
    <row r="492" ht="15.75" customHeight="1" s="156">
      <c r="A492" s="194" t="inlineStr">
        <is>
          <t>September 2026</t>
        </is>
      </c>
      <c r="B492" s="194" t="inlineStr">
        <is>
          <t>Other</t>
        </is>
      </c>
      <c r="C492" s="194" t="inlineStr">
        <is>
          <t>varsity tickets</t>
        </is>
      </c>
      <c r="D492" s="194" t="inlineStr">
        <is>
          <t>2026-09-28</t>
        </is>
      </c>
      <c r="E492" s="194" t="inlineStr">
        <is>
          <t>—</t>
        </is>
      </c>
      <c r="F492" s="194" t="inlineStr">
        <is>
          <t>Harish Bhat</t>
        </is>
      </c>
      <c r="G492" s="194" t="inlineStr">
        <is>
          <t>Online</t>
        </is>
      </c>
      <c r="H492" s="194" t="inlineStr">
        <is>
          <t>varsity tickets</t>
        </is>
      </c>
      <c r="I492" s="195" t="n">
        <v>0.15</v>
      </c>
    </row>
    <row r="493" ht="15.75" customHeight="1" s="156">
      <c r="A493" s="194" t="inlineStr">
        <is>
          <t>September 2026</t>
        </is>
      </c>
      <c r="B493" s="194" t="inlineStr">
        <is>
          <t>Other</t>
        </is>
      </c>
      <c r="C493" s="194" t="inlineStr">
        <is>
          <t>varsity tickets</t>
        </is>
      </c>
      <c r="D493" s="194" t="inlineStr">
        <is>
          <t>2026-09-29</t>
        </is>
      </c>
      <c r="E493" s="194" t="inlineStr">
        <is>
          <t>—</t>
        </is>
      </c>
      <c r="F493" s="194" t="inlineStr">
        <is>
          <t>Harish Bhat</t>
        </is>
      </c>
      <c r="G493" s="194" t="inlineStr">
        <is>
          <t>Online</t>
        </is>
      </c>
      <c r="H493" s="194" t="inlineStr">
        <is>
          <t>varsity tickets</t>
        </is>
      </c>
      <c r="I493" s="195" t="n">
        <v>0.15</v>
      </c>
    </row>
    <row r="494" ht="15.75" customHeight="1" s="156">
      <c r="A494" s="194" t="inlineStr">
        <is>
          <t>September 2026</t>
        </is>
      </c>
      <c r="B494" s="194" t="inlineStr">
        <is>
          <t>Other</t>
        </is>
      </c>
      <c r="C494" s="194" t="inlineStr">
        <is>
          <t>varsity tickets</t>
        </is>
      </c>
      <c r="D494" s="194" t="inlineStr">
        <is>
          <t>2026-09-30</t>
        </is>
      </c>
      <c r="E494" s="194" t="inlineStr">
        <is>
          <t>—</t>
        </is>
      </c>
      <c r="F494" s="194" t="inlineStr">
        <is>
          <t>Harish Bhat</t>
        </is>
      </c>
      <c r="G494" s="194" t="inlineStr">
        <is>
          <t>Online</t>
        </is>
      </c>
      <c r="H494" s="194" t="inlineStr">
        <is>
          <t>varsity tickets</t>
        </is>
      </c>
      <c r="I494" s="195" t="n">
        <v>0.15</v>
      </c>
    </row>
    <row r="495" ht="15.75" customHeight="1" s="156">
      <c r="A495" s="196" t="inlineStr">
        <is>
          <t>October 2026</t>
        </is>
      </c>
      <c r="B495" s="196" t="inlineStr">
        <is>
          <t>Support Training</t>
        </is>
      </c>
      <c r="C495" s="196" t="inlineStr">
        <is>
          <t>New hire batch training (OJT)</t>
        </is>
      </c>
      <c r="D495" s="196" t="inlineStr">
        <is>
          <t>2026-10-01</t>
        </is>
      </c>
      <c r="E495" s="196" t="inlineStr">
        <is>
          <t>—</t>
        </is>
      </c>
      <c r="F495" s="196" t="inlineStr">
        <is>
          <t>Harish Bhat</t>
        </is>
      </c>
      <c r="G495" s="196" t="inlineStr">
        <is>
          <t>Offline</t>
        </is>
      </c>
      <c r="H495" s="196" t="inlineStr">
        <is>
          <t>New hire batch training (OJT)</t>
        </is>
      </c>
      <c r="I495" s="197" t="n">
        <v>6</v>
      </c>
    </row>
    <row r="496" ht="15.75" customHeight="1" s="156">
      <c r="A496" s="196" t="inlineStr">
        <is>
          <t>October 2026</t>
        </is>
      </c>
      <c r="B496" s="196" t="inlineStr">
        <is>
          <t>Support Training</t>
        </is>
      </c>
      <c r="C496" s="196" t="inlineStr">
        <is>
          <t>New hire batch training (OJT)</t>
        </is>
      </c>
      <c r="D496" s="196" t="inlineStr">
        <is>
          <t>2026-10-05</t>
        </is>
      </c>
      <c r="E496" s="196" t="inlineStr">
        <is>
          <t>—</t>
        </is>
      </c>
      <c r="F496" s="196" t="inlineStr">
        <is>
          <t>Girish A</t>
        </is>
      </c>
      <c r="G496" s="196" t="inlineStr">
        <is>
          <t>Offline</t>
        </is>
      </c>
      <c r="H496" s="196" t="inlineStr">
        <is>
          <t>New hire batch training (OJT)</t>
        </is>
      </c>
      <c r="I496" s="197" t="n">
        <v>6</v>
      </c>
    </row>
    <row r="497" ht="15.75" customHeight="1" s="156">
      <c r="A497" s="196" t="inlineStr">
        <is>
          <t>October 2026</t>
        </is>
      </c>
      <c r="B497" s="196" t="inlineStr">
        <is>
          <t>Support Training</t>
        </is>
      </c>
      <c r="C497" s="196" t="inlineStr">
        <is>
          <t>New hire batch training (OJT)</t>
        </is>
      </c>
      <c r="D497" s="196" t="inlineStr">
        <is>
          <t>2026-10-06</t>
        </is>
      </c>
      <c r="E497" s="196" t="inlineStr">
        <is>
          <t>—</t>
        </is>
      </c>
      <c r="F497" s="196" t="inlineStr">
        <is>
          <t>Girish A</t>
        </is>
      </c>
      <c r="G497" s="196" t="inlineStr">
        <is>
          <t>Offline</t>
        </is>
      </c>
      <c r="H497" s="196" t="inlineStr">
        <is>
          <t>New hire batch training (OJT)</t>
        </is>
      </c>
      <c r="I497" s="197" t="n">
        <v>6</v>
      </c>
    </row>
    <row r="498" ht="15.75" customHeight="1" s="156">
      <c r="A498" s="196" t="inlineStr">
        <is>
          <t>October 2026</t>
        </is>
      </c>
      <c r="B498" s="196" t="inlineStr">
        <is>
          <t>Support Training</t>
        </is>
      </c>
      <c r="C498" s="196" t="inlineStr">
        <is>
          <t>New hire batch training (OJT)</t>
        </is>
      </c>
      <c r="D498" s="196" t="inlineStr">
        <is>
          <t>2026-10-07</t>
        </is>
      </c>
      <c r="E498" s="196" t="inlineStr">
        <is>
          <t>—</t>
        </is>
      </c>
      <c r="F498" s="196" t="inlineStr">
        <is>
          <t>Girish A</t>
        </is>
      </c>
      <c r="G498" s="196" t="inlineStr">
        <is>
          <t>Offline</t>
        </is>
      </c>
      <c r="H498" s="196" t="inlineStr">
        <is>
          <t>New hire batch training (OJT)</t>
        </is>
      </c>
      <c r="I498" s="197" t="n">
        <v>6</v>
      </c>
    </row>
    <row r="499" ht="15.75" customHeight="1" s="156">
      <c r="A499" s="196" t="inlineStr">
        <is>
          <t>October 2026</t>
        </is>
      </c>
      <c r="B499" s="196" t="inlineStr">
        <is>
          <t>Support Training</t>
        </is>
      </c>
      <c r="C499" s="196" t="inlineStr">
        <is>
          <t>New hire batch training (OJT)</t>
        </is>
      </c>
      <c r="D499" s="196" t="inlineStr">
        <is>
          <t>2026-10-08</t>
        </is>
      </c>
      <c r="E499" s="196" t="inlineStr">
        <is>
          <t>—</t>
        </is>
      </c>
      <c r="F499" s="196" t="inlineStr">
        <is>
          <t>Girish A</t>
        </is>
      </c>
      <c r="G499" s="196" t="inlineStr">
        <is>
          <t>Offline</t>
        </is>
      </c>
      <c r="H499" s="196" t="inlineStr">
        <is>
          <t>New hire batch training (OJT)</t>
        </is>
      </c>
      <c r="I499" s="197" t="n">
        <v>6</v>
      </c>
    </row>
    <row r="500" ht="15.75" customHeight="1" s="156">
      <c r="A500" s="196" t="inlineStr">
        <is>
          <t>October 2026</t>
        </is>
      </c>
      <c r="B500" s="196" t="inlineStr">
        <is>
          <t>Support Training</t>
        </is>
      </c>
      <c r="C500" s="196" t="inlineStr">
        <is>
          <t>New hire batch training (OJT)</t>
        </is>
      </c>
      <c r="D500" s="196" t="inlineStr">
        <is>
          <t>2026-10-09</t>
        </is>
      </c>
      <c r="E500" s="196" t="inlineStr">
        <is>
          <t>—</t>
        </is>
      </c>
      <c r="F500" s="196" t="inlineStr">
        <is>
          <t>Girish A</t>
        </is>
      </c>
      <c r="G500" s="196" t="inlineStr">
        <is>
          <t>Offline</t>
        </is>
      </c>
      <c r="H500" s="196" t="inlineStr">
        <is>
          <t>New hire batch training (OJT)</t>
        </is>
      </c>
      <c r="I500" s="197" t="n">
        <v>6</v>
      </c>
    </row>
    <row r="501" ht="15.75" customHeight="1" s="156">
      <c r="A501" s="196" t="inlineStr">
        <is>
          <t>October 2026</t>
        </is>
      </c>
      <c r="B501" s="196" t="inlineStr">
        <is>
          <t>Support Training</t>
        </is>
      </c>
      <c r="C501" s="196" t="inlineStr">
        <is>
          <t>Managers 360 assessment - Presentation</t>
        </is>
      </c>
      <c r="D501" s="196" t="inlineStr">
        <is>
          <t>2026-10-06</t>
        </is>
      </c>
      <c r="E501" s="196" t="inlineStr">
        <is>
          <t>—</t>
        </is>
      </c>
      <c r="F501" s="196" t="inlineStr">
        <is>
          <t>Freeda Reshma Dsouza</t>
        </is>
      </c>
      <c r="G501" s="196" t="inlineStr">
        <is>
          <t>Offline</t>
        </is>
      </c>
      <c r="H501" s="196" t="inlineStr">
        <is>
          <t>Managers 360 assessment - Presentation</t>
        </is>
      </c>
      <c r="I501" s="197" t="n">
        <v>6</v>
      </c>
    </row>
    <row r="502" ht="15.75" customHeight="1" s="156">
      <c r="A502" s="196" t="inlineStr">
        <is>
          <t>October 2026</t>
        </is>
      </c>
      <c r="B502" s="196" t="inlineStr">
        <is>
          <t>Support Training</t>
        </is>
      </c>
      <c r="C502" s="196" t="inlineStr">
        <is>
          <t>Managers 360 assessment - Presentation</t>
        </is>
      </c>
      <c r="D502" s="196" t="inlineStr">
        <is>
          <t>2026-10-05</t>
        </is>
      </c>
      <c r="E502" s="196" t="inlineStr">
        <is>
          <t>—</t>
        </is>
      </c>
      <c r="F502" s="196" t="inlineStr">
        <is>
          <t>Freeda Reshma Dsouza</t>
        </is>
      </c>
      <c r="G502" s="196" t="inlineStr">
        <is>
          <t>Offline</t>
        </is>
      </c>
      <c r="H502" s="196" t="inlineStr">
        <is>
          <t>Managers 360 assessment - Presentation</t>
        </is>
      </c>
      <c r="I502" s="197" t="n">
        <v>6</v>
      </c>
    </row>
    <row r="503" ht="15.75" customHeight="1" s="156">
      <c r="A503" s="196" t="inlineStr">
        <is>
          <t>October 2026</t>
        </is>
      </c>
      <c r="B503" s="196" t="inlineStr">
        <is>
          <t>Support Training</t>
        </is>
      </c>
      <c r="C503" s="196" t="inlineStr">
        <is>
          <t>Managers 360 assessment - Presentation</t>
        </is>
      </c>
      <c r="D503" s="196" t="inlineStr">
        <is>
          <t>2026-10-07</t>
        </is>
      </c>
      <c r="E503" s="196" t="inlineStr">
        <is>
          <t>—</t>
        </is>
      </c>
      <c r="F503" s="196" t="inlineStr">
        <is>
          <t>Freeda Reshma Dsouza</t>
        </is>
      </c>
      <c r="G503" s="196" t="inlineStr">
        <is>
          <t>Offline</t>
        </is>
      </c>
      <c r="H503" s="196" t="inlineStr">
        <is>
          <t>Managers 360 assessment - Presentation</t>
        </is>
      </c>
      <c r="I503" s="197" t="n">
        <v>6</v>
      </c>
    </row>
    <row r="504" ht="15.75" customHeight="1" s="156">
      <c r="A504" s="196" t="inlineStr">
        <is>
          <t>October 2026</t>
        </is>
      </c>
      <c r="B504" s="196" t="inlineStr">
        <is>
          <t>Support Training</t>
        </is>
      </c>
      <c r="C504" s="196" t="inlineStr">
        <is>
          <t>Managers 360 assessment - Presentation</t>
        </is>
      </c>
      <c r="D504" s="196" t="inlineStr">
        <is>
          <t>2026-10-08</t>
        </is>
      </c>
      <c r="E504" s="196" t="inlineStr">
        <is>
          <t>—</t>
        </is>
      </c>
      <c r="F504" s="196" t="inlineStr">
        <is>
          <t>Freeda Reshma Dsouza</t>
        </is>
      </c>
      <c r="G504" s="196" t="inlineStr">
        <is>
          <t>Offline</t>
        </is>
      </c>
      <c r="H504" s="196" t="inlineStr">
        <is>
          <t>Managers 360 assessment - Presentation</t>
        </is>
      </c>
      <c r="I504" s="197" t="n">
        <v>6</v>
      </c>
    </row>
    <row r="505" ht="15.75" customHeight="1" s="156">
      <c r="A505" s="194" t="inlineStr">
        <is>
          <t>October 2026</t>
        </is>
      </c>
      <c r="B505" s="194" t="inlineStr">
        <is>
          <t>Other</t>
        </is>
      </c>
      <c r="C505" s="194" t="inlineStr">
        <is>
          <t>varsity tickets</t>
        </is>
      </c>
      <c r="D505" s="194" t="inlineStr">
        <is>
          <t>2026-10-01</t>
        </is>
      </c>
      <c r="E505" s="194" t="inlineStr">
        <is>
          <t>—</t>
        </is>
      </c>
      <c r="F505" s="194" t="inlineStr">
        <is>
          <t>Harish Bhat</t>
        </is>
      </c>
      <c r="G505" s="194" t="inlineStr">
        <is>
          <t>Online</t>
        </is>
      </c>
      <c r="H505" s="194" t="inlineStr">
        <is>
          <t>varsity tickets</t>
        </is>
      </c>
      <c r="I505" s="195" t="n">
        <v>0.15</v>
      </c>
    </row>
    <row r="506" ht="15.75" customHeight="1" s="156">
      <c r="A506" s="194" t="inlineStr">
        <is>
          <t>October 2026</t>
        </is>
      </c>
      <c r="B506" s="194" t="inlineStr">
        <is>
          <t>Other</t>
        </is>
      </c>
      <c r="C506" s="194" t="inlineStr">
        <is>
          <t>varsity tickets</t>
        </is>
      </c>
      <c r="D506" s="194" t="inlineStr">
        <is>
          <t>2026-10-02</t>
        </is>
      </c>
      <c r="E506" s="194" t="inlineStr">
        <is>
          <t>—</t>
        </is>
      </c>
      <c r="F506" s="194" t="inlineStr">
        <is>
          <t>Harish Bhat</t>
        </is>
      </c>
      <c r="G506" s="194" t="inlineStr">
        <is>
          <t>Online</t>
        </is>
      </c>
      <c r="H506" s="194" t="inlineStr">
        <is>
          <t>varsity tickets</t>
        </is>
      </c>
      <c r="I506" s="195" t="n">
        <v>0.15</v>
      </c>
    </row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2026")*ISNUMBER(SEARCH("Gaurav",Data!$F$2:$F$1000))*Data!$I$2:$I$1000),0)</f>
        <v/>
      </c>
      <c r="C2">
        <f>IF(OR(Dashboard!$D$6="All Months",Dashboard!$D$6="August 2026"),SUMPRODUCT((Data!$A$2:$A$1000="August 2026")*ISNUMBER(SEARCH("Raju",Data!$F$2:$F$1000))*Data!$I$2:$I$1000),0)</f>
        <v/>
      </c>
      <c r="D2">
        <f>IF(OR(Dashboard!$D$6="All Months",Dashboard!$D$6="August 2026"),SUMPRODUCT((Data!$A$2:$A$1000="August 2026")*ISNUMBER(SEARCH("Freeda",Data!$F$2:$F$1000))*Data!$I$2:$I$1000),0)</f>
        <v/>
      </c>
      <c r="E2">
        <f>IF(OR(Dashboard!$D$6="All Months",Dashboard!$D$6="August 2026"),SUMPRODUCT((Data!$A$2:$A$1000="August 2026")*ISNUMBER(SEARCH("Harish",Data!$F$2:$F$1000))*Data!$I$2:$I$1000),0)</f>
        <v/>
      </c>
      <c r="F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2026")*ISNUMBER(SEARCH("Gaurav",Data!$F$2:$F$1000))*Data!$I$2:$I$1000),0)</f>
        <v/>
      </c>
      <c r="C3">
        <f>IF(OR(Dashboard!$D$6="All Months",Dashboard!$D$6="September 2026"),SUMPRODUCT((Data!$A$2:$A$1000="September 2026")*ISNUMBER(SEARCH("Raju",Data!$F$2:$F$1000))*Data!$I$2:$I$1000),0)</f>
        <v/>
      </c>
      <c r="D3">
        <f>IF(OR(Dashboard!$D$6="All Months",Dashboard!$D$6="September 2026"),SUMPRODUCT((Data!$A$2:$A$1000="September 2026")*ISNUMBER(SEARCH("Freeda",Data!$F$2:$F$1000))*Data!$I$2:$I$1000),0)</f>
        <v/>
      </c>
      <c r="E3">
        <f>IF(OR(Dashboard!$D$6="All Months",Dashboard!$D$6="September 2026"),SUMPRODUCT((Data!$A$2:$A$1000="September 2026")*ISNUMBER(SEARCH("Harish",Data!$F$2:$F$1000))*Data!$I$2:$I$1000),0)</f>
        <v/>
      </c>
      <c r="F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Project Maven</t>
        </is>
      </c>
      <c r="B11">
        <f>IF(Dashboard!$D$6="All Months",SUMIF(Data!$B$2:$B$1000,"Project Maven",Data!$I$2:$I$1000),SUMPRODUCT((Data!$A$2:$A$1000=Dashboard!$D$6)*(Data!$B$2:$B$1000="Project Maven")*Data!$I$2:$I$1000))</f>
        <v/>
      </c>
    </row>
    <row r="12">
      <c r="A12" t="inlineStr">
        <is>
          <t>Other</t>
        </is>
      </c>
      <c r="B12">
        <f>IF(Dashboard!$D$6="All Months",SUMIF(Data!$B$2:$B$1000,"Other",Data!$I$2:$I$1000),SUMPRODUCT((Data!$A$2:$A$1000=Dashboard!$D$6)*(Data!$B$2:$B$1000="Other")*Data!$I$2:$I$1000))</f>
        <v/>
      </c>
    </row>
    <row r="13">
      <c r="A13" t="inlineStr">
        <is>
          <t>Assessment</t>
        </is>
      </c>
      <c r="B13">
        <f>IF(Dashboard!$D$6="All Months",SUMIF(Data!$B$2:$B$1000,"Assessment",Data!$I$2:$I$1000),SUMPRODUCT((Data!$A$2:$A$1000=Dashboard!$D$6)*(Data!$B$2:$B$1000="Assessment")*Data!$I$2:$I$1000))</f>
        <v/>
      </c>
    </row>
    <row r="14" ht="15" customHeight="1" s="156">
      <c r="A14" t="inlineStr">
        <is>
          <t>Refresher for Entire Support</t>
        </is>
      </c>
      <c r="B14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15" ht="15" customHeight="1" s="156">
      <c r="A15" t="inlineStr">
        <is>
          <t>Support Team OJT</t>
        </is>
      </c>
      <c r="B15">
        <f>IF(Dashboard!$D$6="All Months",SUMIF(Data!$B$2:$B$1000,"Support Team OJT",Data!$I$2:$I$1000),SUMPRODUCT((Data!$A$2:$A$1000=Dashboard!$D$6)*(Data!$B$2:$B$1000="Support Team OJT")*Data!$I$2:$I$1000))</f>
        <v/>
      </c>
    </row>
    <row r="16" ht="15" customHeight="1" s="156">
      <c r="A16" t="inlineStr">
        <is>
          <t>Refresher</t>
        </is>
      </c>
      <c r="B16">
        <f>IF(Dashboard!$D$6="All Months",SUMIF(Data!$B$2:$B$1000,"Refresher",Data!$I$2:$I$1000),SUMPRODUCT((Data!$A$2:$A$1000=Dashboard!$D$6)*(Data!$B$2:$B$1000="Refresher")*Data!$I$2:$I$1000))</f>
        <v/>
      </c>
    </row>
    <row r="17" ht="15" customHeight="1" s="156">
      <c r="A17" t="inlineStr">
        <is>
          <t>Team Refresher</t>
        </is>
      </c>
      <c r="B17">
        <f>IF(Dashboard!$D$6="All Months",SUMIF(Data!$B$2:$B$1000,"Team Refresher",Data!$I$2:$I$1000),SUMPRODUCT((Data!$A$2:$A$1000=Dashboard!$D$6)*(Data!$B$2:$B$1000="Team Refresher")*Data!$I$2:$I$1000))</f>
        <v/>
      </c>
    </row>
    <row r="18" ht="15" customHeight="1" s="156">
      <c r="A18" t="inlineStr">
        <is>
          <t>ACOP Team Refresher</t>
        </is>
      </c>
      <c r="B18">
        <f>IF(Dashboard!$D$6="All Months",SUMIF(Data!$B$2:$B$1000,"ACOP Team Refresher",Data!$I$2:$I$1000),SUMPRODUCT((Data!$A$2:$A$1000=Dashboard!$D$6)*(Data!$B$2:$B$1000="ACOP Team Refresher")*Data!$I$2:$I$1000))</f>
        <v/>
      </c>
    </row>
    <row r="19" ht="15" customHeight="1" s="156">
      <c r="A19" t="inlineStr">
        <is>
          <t>Varsity Backend Support</t>
        </is>
      </c>
      <c r="B19">
        <f>IF(Dashboard!$D$6="All Months",SUMIF(Data!$B$2:$B$1000,"Varsity Backend Support",Data!$I$2:$I$1000),SUMPRODUCT((Data!$A$2:$A$1000=Dashboard!$D$6)*(Data!$B$2:$B$1000="Varsity Backend Support")*Data!$I$2:$I$1000))</f>
        <v/>
      </c>
    </row>
    <row r="20" ht="15" customHeight="1" s="156">
      <c r="A20" t="inlineStr">
        <is>
          <t>Refresher for Evening Support</t>
        </is>
      </c>
      <c r="B20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1" ht="15.75" customHeight="1" s="156">
      <c r="A21" t="inlineStr">
        <is>
          <t>Refresher for Support</t>
        </is>
      </c>
      <c r="B21">
        <f>IF(Dashboard!$D$6="All Months",SUMIF(Data!$B$2:$B$1000,"Refresher for Support",Data!$I$2:$I$1000),SUMPRODUCT((Data!$A$2:$A$1000=Dashboard!$D$6)*(Data!$B$2:$B$1000="Refresher for Support")*Data!$I$2:$I$1000))</f>
        <v/>
      </c>
    </row>
    <row r="22" ht="15.75" customHeight="1" s="156">
      <c r="A22" t="inlineStr">
        <is>
          <t>Mock Calls</t>
        </is>
      </c>
      <c r="B22">
        <f>IF(Dashboard!$D$6="All Months",SUMIF(Data!$B$2:$B$1000,"Mock Calls",Data!$I$2:$I$1000),SUMPRODUCT((Data!$A$2:$A$1000=Dashboard!$D$6)*(Data!$B$2:$B$1000="Mock Calls")*Data!$I$2:$I$1000))</f>
        <v/>
      </c>
    </row>
    <row r="23" ht="15.75" customHeight="1" s="156">
      <c r="A23" t="inlineStr">
        <is>
          <t>Webinar</t>
        </is>
      </c>
      <c r="B23">
        <f>IF(Dashboard!$D$6="All Months",SUMIF(Data!$B$2:$B$1000,"Webinar",Data!$I$2:$I$1000),SUMPRODUCT((Data!$A$2:$A$1000=Dashboard!$D$6)*(Data!$B$2:$B$1000="Webinar")*Data!$I$2:$I$1000))</f>
        <v/>
      </c>
    </row>
    <row r="24" ht="15.75" customHeight="1" s="156">
      <c r="A24" t="inlineStr">
        <is>
          <t>Session</t>
        </is>
      </c>
      <c r="B24">
        <f>IF(Dashboard!$D$6="All Months",SUMIF(Data!$B$2:$B$1000,"Session",Data!$I$2:$I$1000),SUMPRODUCT((Data!$A$2:$A$1000=Dashboard!$D$6)*(Data!$B$2:$B$1000="Session")*Data!$I$2:$I$1000))</f>
        <v/>
      </c>
    </row>
    <row r="25" ht="15.75" customHeight="1" s="156">
      <c r="A25" t="inlineStr">
        <is>
          <t>Ticket Tool Video</t>
        </is>
      </c>
      <c r="B25">
        <f>IF(Dashboard!$D$6="All Months",SUMIF(Data!$B$2:$B$1000,"Ticket Tool Video",Data!$I$2:$I$1000),SUMPRODUCT((Data!$A$2:$A$1000=Dashboard!$D$6)*(Data!$B$2:$B$1000="Ticket Tool Video")*Data!$I$2:$I$1000))</f>
        <v/>
      </c>
    </row>
    <row r="26" ht="15.75" customHeight="1" s="156">
      <c r="A26" t="inlineStr">
        <is>
          <t>Varsity Scripts Writing</t>
        </is>
      </c>
      <c r="B26">
        <f>IF(Dashboard!$D$6="All Months",SUMIF(Data!$B$2:$B$1000,"Varsity Scripts Writing",Data!$I$2:$I$1000),SUMPRODUCT((Data!$A$2:$A$1000=Dashboard!$D$6)*(Data!$B$2:$B$1000="Varsity Scripts Writing")*Data!$I$2:$I$1000))</f>
        <v/>
      </c>
    </row>
    <row r="27" ht="15.75" customHeight="1" s="156">
      <c r="A27" t="inlineStr">
        <is>
          <t>Varsity Video Shoot</t>
        </is>
      </c>
      <c r="B27">
        <f>IF(Dashboard!$D$6="All Months",SUMIF(Data!$B$2:$B$1000,"Varsity Video Shoot",Data!$I$2:$I$1000),SUMPRODUCT((Data!$A$2:$A$1000=Dashboard!$D$6)*(Data!$B$2:$B$1000="Varsity Video Shoot")*Data!$I$2:$I$1000))</f>
        <v/>
      </c>
    </row>
    <row r="28" ht="15.75" customHeight="1" s="156">
      <c r="A28" t="inlineStr">
        <is>
          <t>Accop Training</t>
        </is>
      </c>
      <c r="B28">
        <f>IF(Dashboard!$D$6="All Months",SUMIF(Data!$B$2:$B$1000,"Accop Training",Data!$I$2:$I$1000),SUMPRODUCT((Data!$A$2:$A$1000=Dashboard!$D$6)*(Data!$B$2:$B$1000="Accop Training")*Data!$I$2:$I$1000))</f>
        <v/>
      </c>
    </row>
    <row r="29" ht="15.75" customHeight="1" s="156">
      <c r="A29" t="inlineStr">
        <is>
          <t>NRI Team Training</t>
        </is>
      </c>
      <c r="B29">
        <f>IF(Dashboard!$D$6="All Months",SUMIF(Data!$B$2:$B$1000,"NRI Team Training",Data!$I$2:$I$1000),SUMPRODUCT((Data!$A$2:$A$1000=Dashboard!$D$6)*(Data!$B$2:$B$1000="NRI Team Training")*Data!$I$2:$I$1000))</f>
        <v/>
      </c>
    </row>
    <row r="30" ht="15.75" customHeight="1" s="156">
      <c r="A30" t="inlineStr">
        <is>
          <t>Content Team Session</t>
        </is>
      </c>
      <c r="B30">
        <f>IF(Dashboard!$D$6="All Months",SUMIF(Data!$B$2:$B$1000,"Content Team Session",Data!$I$2:$I$1000),SUMPRODUCT((Data!$A$2:$A$1000=Dashboard!$D$6)*(Data!$B$2:$B$1000="Content Team Session")*Data!$I$2:$I$1000))</f>
        <v/>
      </c>
    </row>
    <row r="31" ht="15.75" customHeight="1" s="156">
      <c r="A31" t="inlineStr">
        <is>
          <t>Varsity Team Session</t>
        </is>
      </c>
      <c r="B31">
        <f>IF(Dashboard!$D$6="All Months",SUMIF(Data!$B$2:$B$1000,"Varsity Team Session",Data!$I$2:$I$1000),SUMPRODUCT((Data!$A$2:$A$1000=Dashboard!$D$6)*(Data!$B$2:$B$1000="Varsity Team Session")*Data!$I$2:$I$1000))</f>
        <v/>
      </c>
    </row>
    <row r="32" ht="15.75" customHeight="1" s="156">
      <c r="A32" t="inlineStr">
        <is>
          <t>Assessments</t>
        </is>
      </c>
      <c r="B32">
        <f>IF(Dashboard!$D$6="All Months",SUMIF(Data!$B$2:$B$1000,"Assessments",Data!$I$2:$I$1000),SUMPRODUCT((Data!$A$2:$A$1000=Dashboard!$D$6)*(Data!$B$2:$B$1000="Assessments")*Data!$I$2:$I$1000))</f>
        <v/>
      </c>
    </row>
    <row r="33" ht="15.75" customHeight="1" s="156">
      <c r="A33" t="inlineStr">
        <is>
          <t>Training Need Analysis</t>
        </is>
      </c>
      <c r="B33">
        <f>IF(Dashboard!$D$6="All Months",SUMIF(Data!$B$2:$B$1000,"Training Need Analysis",Data!$I$2:$I$1000),SUMPRODUCT((Data!$A$2:$A$1000=Dashboard!$D$6)*(Data!$B$2:$B$1000="Training Need Analysis")*Data!$I$2:$I$1000))</f>
        <v/>
      </c>
    </row>
    <row r="34" ht="15.75" customHeight="1" s="156">
      <c r="A34" t="inlineStr">
        <is>
          <t>Fresh Hires Training</t>
        </is>
      </c>
      <c r="B34">
        <f>IF(Dashboard!$D$6="All Months",SUMIF(Data!$B$2:$B$1000,"Fresh Hires Training",Data!$I$2:$I$1000),SUMPRODUCT((Data!$A$2:$A$1000=Dashboard!$D$6)*(Data!$B$2:$B$1000="Fresh Hires Training")*Data!$I$2:$I$1000))</f>
        <v/>
      </c>
    </row>
    <row r="35" ht="15.75" customHeight="1" s="156">
      <c r="A35" t="inlineStr">
        <is>
          <t>Self Assessment Form</t>
        </is>
      </c>
      <c r="B35">
        <f>IF(Dashboard!$D$6="All Months",SUMIF(Data!$B$2:$B$1000,"Self Assessment Form",Data!$I$2:$I$1000),SUMPRODUCT((Data!$A$2:$A$1000=Dashboard!$D$6)*(Data!$B$2:$B$1000="Self Assessment Form")*Data!$I$2:$I$1000))</f>
        <v/>
      </c>
    </row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4" t="n">
        <v>62</v>
      </c>
      <c r="B68" s="205" t="inlineStr">
        <is>
          <t>Support Training</t>
        </is>
      </c>
      <c r="C68" s="205" t="inlineStr">
        <is>
          <t>New Hire batch training</t>
        </is>
      </c>
      <c r="D68" s="205" t="inlineStr">
        <is>
          <t>2026-08-31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New Hire batch training</t>
        </is>
      </c>
      <c r="I68" s="206" t="n">
        <v>6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varsity tickets</t>
        </is>
      </c>
      <c r="D69" s="202" t="inlineStr">
        <is>
          <t>2026-08-31</t>
        </is>
      </c>
      <c r="E69" s="202" t="inlineStr">
        <is>
          <t>—</t>
        </is>
      </c>
      <c r="F69" s="202" t="inlineStr">
        <is>
          <t>Harish Bhat</t>
        </is>
      </c>
      <c r="G69" s="202" t="inlineStr">
        <is>
          <t>Online</t>
        </is>
      </c>
      <c r="H69" s="202" t="inlineStr">
        <is>
          <t>varsity tickets</t>
        </is>
      </c>
      <c r="I69" s="203" t="n">
        <v>0.15</v>
      </c>
    </row>
    <row r="70" ht="15.75" customHeight="1" s="156">
      <c r="A70" s="207" t="inlineStr">
        <is>
          <t>TOTAL MAN HOURS THIS MONTH</t>
        </is>
      </c>
      <c r="B70" s="207" t="n"/>
      <c r="C70" s="207" t="n"/>
      <c r="D70" s="207" t="n"/>
      <c r="E70" s="207" t="n"/>
      <c r="F70" s="207" t="n"/>
      <c r="G70" s="207" t="n"/>
      <c r="H70" s="207" t="n"/>
      <c r="I70" s="208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New hire batch training (OJT)</t>
        </is>
      </c>
      <c r="D16" s="205" t="inlineStr">
        <is>
          <t>2026-09-07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New hire batch training (OJT)</t>
        </is>
      </c>
      <c r="I16" s="206" t="n">
        <v>6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2026-09-08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2026-09-09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2026-09-10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2026-09-11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2026-09-14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2026-09-15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2026-09-16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2026-09-17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2026-09-18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2026-09-21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2026-09-22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2026-09-23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2026-09-24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2026-09-25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2026-09-28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2026-09-29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2026-09-30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New hire batch training (OJT)</t>
        </is>
      </c>
      <c r="D34" s="202" t="inlineStr">
        <is>
          <t>2026-09-19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New hire batch training (OJT)</t>
        </is>
      </c>
      <c r="I34" s="203" t="n">
        <v>4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2026-09-03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6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Assesment 2 for New hire training</t>
        </is>
      </c>
      <c r="D36" s="202" t="inlineStr">
        <is>
          <t>2026-09-05</t>
        </is>
      </c>
      <c r="E36" s="202" t="inlineStr">
        <is>
          <t>—</t>
        </is>
      </c>
      <c r="F36" s="202" t="inlineStr">
        <is>
          <t>Girish A</t>
        </is>
      </c>
      <c r="G36" s="202" t="inlineStr">
        <is>
          <t>Online</t>
        </is>
      </c>
      <c r="H36" s="202" t="inlineStr">
        <is>
          <t>Assesment 2 for New hire training</t>
        </is>
      </c>
      <c r="I36" s="203" t="n">
        <v>4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2026-09-01</t>
        </is>
      </c>
      <c r="E37" s="205" t="inlineStr">
        <is>
          <t>—</t>
        </is>
      </c>
      <c r="F37" s="205" t="inlineStr">
        <is>
          <t>Girish A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4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Preparing QIP Assessment questions</t>
        </is>
      </c>
      <c r="D38" s="202" t="inlineStr">
        <is>
          <t>2026-09-01</t>
        </is>
      </c>
      <c r="E38" s="202" t="inlineStr">
        <is>
          <t>—</t>
        </is>
      </c>
      <c r="F38" s="202" t="inlineStr">
        <is>
          <t>Girish A</t>
        </is>
      </c>
      <c r="G38" s="202" t="inlineStr">
        <is>
          <t>Online</t>
        </is>
      </c>
      <c r="H38" s="202" t="inlineStr">
        <is>
          <t>Preparing QIP Assessment questions</t>
        </is>
      </c>
      <c r="I38" s="203" t="n">
        <v>2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Preparing QIP Assessment questions</t>
        </is>
      </c>
      <c r="D39" s="202" t="inlineStr">
        <is>
          <t>2026-09-02</t>
        </is>
      </c>
      <c r="E39" s="202" t="inlineStr">
        <is>
          <t>—</t>
        </is>
      </c>
      <c r="F39" s="202" t="inlineStr">
        <is>
          <t>Girish A</t>
        </is>
      </c>
      <c r="G39" s="202" t="inlineStr">
        <is>
          <t>Online</t>
        </is>
      </c>
      <c r="H39" s="202" t="inlineStr">
        <is>
          <t>Preparing QIP Assessment questions</t>
        </is>
      </c>
      <c r="I39" s="203" t="n">
        <v>2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New Hire batch training</t>
        </is>
      </c>
      <c r="D40" s="205" t="inlineStr">
        <is>
          <t>2026-09-02</t>
        </is>
      </c>
      <c r="E40" s="205" t="inlineStr">
        <is>
          <t>—</t>
        </is>
      </c>
      <c r="F40" s="205" t="inlineStr">
        <is>
          <t>Girish A</t>
        </is>
      </c>
      <c r="G40" s="205" t="inlineStr">
        <is>
          <t>Offline</t>
        </is>
      </c>
      <c r="H40" s="205" t="inlineStr">
        <is>
          <t>New Hire batch training</t>
        </is>
      </c>
      <c r="I40" s="206" t="n">
        <v>4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New hire batch training (OJT)</t>
        </is>
      </c>
      <c r="D41" s="205" t="inlineStr">
        <is>
          <t>2026-09-07</t>
        </is>
      </c>
      <c r="E41" s="205" t="inlineStr">
        <is>
          <t>—</t>
        </is>
      </c>
      <c r="F41" s="205" t="inlineStr">
        <is>
          <t>Girish A</t>
        </is>
      </c>
      <c r="G41" s="205" t="inlineStr">
        <is>
          <t>Offline</t>
        </is>
      </c>
      <c r="H41" s="205" t="inlineStr">
        <is>
          <t>New hire batch training (OJT)</t>
        </is>
      </c>
      <c r="I41" s="206" t="n">
        <v>4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New hire batch training (OJT)</t>
        </is>
      </c>
      <c r="D42" s="205" t="inlineStr">
        <is>
          <t>2026-09-08</t>
        </is>
      </c>
      <c r="E42" s="205" t="inlineStr">
        <is>
          <t>—</t>
        </is>
      </c>
      <c r="F42" s="205" t="inlineStr">
        <is>
          <t>Girish A</t>
        </is>
      </c>
      <c r="G42" s="205" t="inlineStr">
        <is>
          <t>Offline</t>
        </is>
      </c>
      <c r="H42" s="205" t="inlineStr">
        <is>
          <t>New hire batch training (OJT)</t>
        </is>
      </c>
      <c r="I42" s="206" t="n">
        <v>4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New hire batch training (OJT)</t>
        </is>
      </c>
      <c r="D43" s="205" t="inlineStr">
        <is>
          <t>2026-09-09</t>
        </is>
      </c>
      <c r="E43" s="205" t="inlineStr">
        <is>
          <t>—</t>
        </is>
      </c>
      <c r="F43" s="205" t="inlineStr">
        <is>
          <t>Girish A</t>
        </is>
      </c>
      <c r="G43" s="205" t="inlineStr">
        <is>
          <t>Offline</t>
        </is>
      </c>
      <c r="H43" s="205" t="inlineStr">
        <is>
          <t>New hire batch training (OJT)</t>
        </is>
      </c>
      <c r="I43" s="206" t="n">
        <v>4</v>
      </c>
    </row>
    <row r="44" ht="15.75" customHeight="1" s="156">
      <c r="A44" s="204" t="n">
        <v>38</v>
      </c>
      <c r="B44" s="205" t="inlineStr">
        <is>
          <t>Support Training</t>
        </is>
      </c>
      <c r="C44" s="205" t="inlineStr">
        <is>
          <t>New hire batch training (OJT)</t>
        </is>
      </c>
      <c r="D44" s="205" t="inlineStr">
        <is>
          <t>2026-09-10</t>
        </is>
      </c>
      <c r="E44" s="205" t="inlineStr">
        <is>
          <t>—</t>
        </is>
      </c>
      <c r="F44" s="205" t="inlineStr">
        <is>
          <t>Girish A</t>
        </is>
      </c>
      <c r="G44" s="205" t="inlineStr">
        <is>
          <t>Offline</t>
        </is>
      </c>
      <c r="H44" s="205" t="inlineStr">
        <is>
          <t>New hire batch training (OJT)</t>
        </is>
      </c>
      <c r="I44" s="206" t="n">
        <v>4</v>
      </c>
    </row>
    <row r="45" ht="15.75" customHeight="1" s="156">
      <c r="A45" s="204" t="n">
        <v>39</v>
      </c>
      <c r="B45" s="205" t="inlineStr">
        <is>
          <t>Support Training</t>
        </is>
      </c>
      <c r="C45" s="205" t="inlineStr">
        <is>
          <t>New hire batch training (OJT)</t>
        </is>
      </c>
      <c r="D45" s="205" t="inlineStr">
        <is>
          <t>2026-09-11</t>
        </is>
      </c>
      <c r="E45" s="205" t="inlineStr">
        <is>
          <t>—</t>
        </is>
      </c>
      <c r="F45" s="205" t="inlineStr">
        <is>
          <t>Girish A</t>
        </is>
      </c>
      <c r="G45" s="205" t="inlineStr">
        <is>
          <t>Offline</t>
        </is>
      </c>
      <c r="H45" s="205" t="inlineStr">
        <is>
          <t>New hire batch training (OJT)</t>
        </is>
      </c>
      <c r="I45" s="206" t="n">
        <v>4</v>
      </c>
    </row>
    <row r="46" ht="15.75" customHeight="1" s="156">
      <c r="A46" s="201" t="n">
        <v>40</v>
      </c>
      <c r="B46" s="202" t="inlineStr">
        <is>
          <t>Other</t>
        </is>
      </c>
      <c r="C46" s="202" t="inlineStr">
        <is>
          <t>QIP Agent feedback</t>
        </is>
      </c>
      <c r="D46" s="202" t="inlineStr">
        <is>
          <t>2026-09-08</t>
        </is>
      </c>
      <c r="E46" s="202" t="inlineStr">
        <is>
          <t>—</t>
        </is>
      </c>
      <c r="F46" s="202" t="inlineStr">
        <is>
          <t>Girish A</t>
        </is>
      </c>
      <c r="G46" s="202" t="inlineStr">
        <is>
          <t>Online</t>
        </is>
      </c>
      <c r="H46" s="202" t="inlineStr">
        <is>
          <t>QIP Agent feedback</t>
        </is>
      </c>
      <c r="I46" s="203" t="n">
        <v>2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QIP Agent feedback</t>
        </is>
      </c>
      <c r="D47" s="202" t="inlineStr">
        <is>
          <t>2026-09-10</t>
        </is>
      </c>
      <c r="E47" s="202" t="inlineStr">
        <is>
          <t>—</t>
        </is>
      </c>
      <c r="F47" s="202" t="inlineStr">
        <is>
          <t>Girish A</t>
        </is>
      </c>
      <c r="G47" s="202" t="inlineStr">
        <is>
          <t>Online</t>
        </is>
      </c>
      <c r="H47" s="202" t="inlineStr">
        <is>
          <t>QIP Agent feedback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QIP Agent feedback</t>
        </is>
      </c>
      <c r="D48" s="202" t="inlineStr">
        <is>
          <t>2026-09-15</t>
        </is>
      </c>
      <c r="E48" s="202" t="inlineStr">
        <is>
          <t>—</t>
        </is>
      </c>
      <c r="F48" s="202" t="inlineStr">
        <is>
          <t>Girish A</t>
        </is>
      </c>
      <c r="G48" s="202" t="inlineStr">
        <is>
          <t>Online</t>
        </is>
      </c>
      <c r="H48" s="202" t="inlineStr">
        <is>
          <t>QIP Agent feedback</t>
        </is>
      </c>
      <c r="I48" s="203" t="n">
        <v>1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QIP Agent feedback</t>
        </is>
      </c>
      <c r="D49" s="202" t="inlineStr">
        <is>
          <t>2026-09-16</t>
        </is>
      </c>
      <c r="E49" s="202" t="inlineStr">
        <is>
          <t>—</t>
        </is>
      </c>
      <c r="F49" s="202" t="inlineStr">
        <is>
          <t>Girish A</t>
        </is>
      </c>
      <c r="G49" s="202" t="inlineStr">
        <is>
          <t>Online</t>
        </is>
      </c>
      <c r="H49" s="202" t="inlineStr">
        <is>
          <t>QIP Agent feedback</t>
        </is>
      </c>
      <c r="I49" s="203" t="n">
        <v>1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 (OJT)</t>
        </is>
      </c>
      <c r="D50" s="205" t="inlineStr">
        <is>
          <t>2026-09-14</t>
        </is>
      </c>
      <c r="E50" s="205" t="inlineStr">
        <is>
          <t>—</t>
        </is>
      </c>
      <c r="F50" s="205" t="inlineStr">
        <is>
          <t>Girish A</t>
        </is>
      </c>
      <c r="G50" s="205" t="inlineStr">
        <is>
          <t>Offline</t>
        </is>
      </c>
      <c r="H50" s="205" t="inlineStr">
        <is>
          <t>New hire batch training (OJT)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Support Training</t>
        </is>
      </c>
      <c r="C51" s="202" t="inlineStr">
        <is>
          <t>New hire batch training (OJT)</t>
        </is>
      </c>
      <c r="D51" s="202" t="inlineStr">
        <is>
          <t>2026-09-15</t>
        </is>
      </c>
      <c r="E51" s="202" t="inlineStr">
        <is>
          <t>—</t>
        </is>
      </c>
      <c r="F51" s="202" t="inlineStr">
        <is>
          <t>Girish A</t>
        </is>
      </c>
      <c r="G51" s="202" t="inlineStr">
        <is>
          <t>Online</t>
        </is>
      </c>
      <c r="H51" s="202" t="inlineStr">
        <is>
          <t>New hire batch training (OJT)</t>
        </is>
      </c>
      <c r="I51" s="203" t="n">
        <v>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New hire batch training (OJT)</t>
        </is>
      </c>
      <c r="D52" s="205" t="inlineStr">
        <is>
          <t>2026-09-18</t>
        </is>
      </c>
      <c r="E52" s="205" t="inlineStr">
        <is>
          <t>—</t>
        </is>
      </c>
      <c r="F52" s="205" t="inlineStr">
        <is>
          <t>Girish A</t>
        </is>
      </c>
      <c r="G52" s="205" t="inlineStr">
        <is>
          <t>Offline</t>
        </is>
      </c>
      <c r="H52" s="205" t="inlineStr">
        <is>
          <t>New hire batch training (OJT)</t>
        </is>
      </c>
      <c r="I52" s="206" t="n">
        <v>6</v>
      </c>
    </row>
    <row r="53" ht="15.75" customHeight="1" s="156">
      <c r="A53" s="201" t="n">
        <v>47</v>
      </c>
      <c r="B53" s="202" t="inlineStr">
        <is>
          <t>Support Training</t>
        </is>
      </c>
      <c r="C53" s="202" t="inlineStr">
        <is>
          <t>New hire batch training (OJT)</t>
        </is>
      </c>
      <c r="D53" s="202" t="inlineStr">
        <is>
          <t>2026-09-19</t>
        </is>
      </c>
      <c r="E53" s="202" t="inlineStr">
        <is>
          <t>—</t>
        </is>
      </c>
      <c r="F53" s="202" t="inlineStr">
        <is>
          <t>Girish A</t>
        </is>
      </c>
      <c r="G53" s="202" t="inlineStr">
        <is>
          <t>Online</t>
        </is>
      </c>
      <c r="H53" s="202" t="inlineStr">
        <is>
          <t>New hire batch training (OJT)</t>
        </is>
      </c>
      <c r="I53" s="203" t="n">
        <v>4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New hire batch training (OJT)</t>
        </is>
      </c>
      <c r="D54" s="205" t="inlineStr">
        <is>
          <t>2026-09-17</t>
        </is>
      </c>
      <c r="E54" s="205" t="inlineStr">
        <is>
          <t>—</t>
        </is>
      </c>
      <c r="F54" s="205" t="inlineStr">
        <is>
          <t>Girish A</t>
        </is>
      </c>
      <c r="G54" s="205" t="inlineStr">
        <is>
          <t>Offline</t>
        </is>
      </c>
      <c r="H54" s="205" t="inlineStr">
        <is>
          <t>New hire batch training (OJT)</t>
        </is>
      </c>
      <c r="I54" s="206" t="n">
        <v>3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QIP Mock Call session</t>
        </is>
      </c>
      <c r="D55" s="202" t="inlineStr">
        <is>
          <t>2026-09-17</t>
        </is>
      </c>
      <c r="E55" s="202" t="inlineStr">
        <is>
          <t>—</t>
        </is>
      </c>
      <c r="F55" s="202" t="inlineStr">
        <is>
          <t>Girish A</t>
        </is>
      </c>
      <c r="G55" s="202" t="inlineStr">
        <is>
          <t>Online</t>
        </is>
      </c>
      <c r="H55" s="202" t="inlineStr">
        <is>
          <t>QIP Mock Call session</t>
        </is>
      </c>
      <c r="I55" s="203" t="n">
        <v>1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New hire batch training (OJT)</t>
        </is>
      </c>
      <c r="D56" s="205" t="inlineStr">
        <is>
          <t>2026-09-21</t>
        </is>
      </c>
      <c r="E56" s="205" t="inlineStr">
        <is>
          <t>—</t>
        </is>
      </c>
      <c r="F56" s="205" t="inlineStr">
        <is>
          <t>Girish A</t>
        </is>
      </c>
      <c r="G56" s="205" t="inlineStr">
        <is>
          <t>Offline</t>
        </is>
      </c>
      <c r="H56" s="205" t="inlineStr">
        <is>
          <t>New hire batch training (OJT)</t>
        </is>
      </c>
      <c r="I56" s="206" t="n">
        <v>6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New hire batch training (OJT)</t>
        </is>
      </c>
      <c r="D57" s="205" t="inlineStr">
        <is>
          <t>2026-09-22</t>
        </is>
      </c>
      <c r="E57" s="205" t="inlineStr">
        <is>
          <t>—</t>
        </is>
      </c>
      <c r="F57" s="205" t="inlineStr">
        <is>
          <t>Girish A</t>
        </is>
      </c>
      <c r="G57" s="205" t="inlineStr">
        <is>
          <t>Offline</t>
        </is>
      </c>
      <c r="H57" s="205" t="inlineStr">
        <is>
          <t>New hire batch training (OJT)</t>
        </is>
      </c>
      <c r="I57" s="206" t="n">
        <v>6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New hire batch training (OJT)</t>
        </is>
      </c>
      <c r="D58" s="205" t="inlineStr">
        <is>
          <t>2026-09-23</t>
        </is>
      </c>
      <c r="E58" s="205" t="inlineStr">
        <is>
          <t>—</t>
        </is>
      </c>
      <c r="F58" s="205" t="inlineStr">
        <is>
          <t>Girish A</t>
        </is>
      </c>
      <c r="G58" s="205" t="inlineStr">
        <is>
          <t>Offline</t>
        </is>
      </c>
      <c r="H58" s="205" t="inlineStr">
        <is>
          <t>New hire batch training (OJT)</t>
        </is>
      </c>
      <c r="I58" s="206" t="n">
        <v>6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New hire batch training (OJT)</t>
        </is>
      </c>
      <c r="D59" s="205" t="inlineStr">
        <is>
          <t>2026-09-24</t>
        </is>
      </c>
      <c r="E59" s="205" t="inlineStr">
        <is>
          <t>—</t>
        </is>
      </c>
      <c r="F59" s="205" t="inlineStr">
        <is>
          <t>Girish A</t>
        </is>
      </c>
      <c r="G59" s="205" t="inlineStr">
        <is>
          <t>Offline</t>
        </is>
      </c>
      <c r="H59" s="205" t="inlineStr">
        <is>
          <t>New hire batch training (OJT)</t>
        </is>
      </c>
      <c r="I59" s="206" t="n">
        <v>6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New hire batch training (OJT)</t>
        </is>
      </c>
      <c r="D60" s="205" t="inlineStr">
        <is>
          <t>2026-09-25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New hire batch training (OJT)</t>
        </is>
      </c>
      <c r="I60" s="206" t="n">
        <v>6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New hire batch training (OJT)</t>
        </is>
      </c>
      <c r="D61" s="205" t="inlineStr">
        <is>
          <t>2026-09-28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New hire batch training (OJT)</t>
        </is>
      </c>
      <c r="I61" s="206" t="n">
        <v>6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New hire batch training (OJT)</t>
        </is>
      </c>
      <c r="D62" s="205" t="inlineStr">
        <is>
          <t>2026-09-29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New hire batch training (OJT)</t>
        </is>
      </c>
      <c r="I62" s="206" t="n">
        <v>6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New hire batch training (OJT)</t>
        </is>
      </c>
      <c r="D63" s="205" t="inlineStr">
        <is>
          <t>2026-09-30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New hire batch training (OJT)</t>
        </is>
      </c>
      <c r="I63" s="206" t="n">
        <v>6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QA feedback training Module preparation</t>
        </is>
      </c>
      <c r="D64" s="202" t="inlineStr">
        <is>
          <t>2026-09-21</t>
        </is>
      </c>
      <c r="E64" s="202" t="inlineStr">
        <is>
          <t>—</t>
        </is>
      </c>
      <c r="F64" s="202" t="inlineStr">
        <is>
          <t>Freeda Reshma Dsouza</t>
        </is>
      </c>
      <c r="G64" s="202" t="inlineStr">
        <is>
          <t>Online</t>
        </is>
      </c>
      <c r="H64" s="202" t="inlineStr">
        <is>
          <t>QA feedback training Module preparation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QA feedback training Module preparation</t>
        </is>
      </c>
      <c r="D65" s="202" t="inlineStr">
        <is>
          <t>2026-09-22</t>
        </is>
      </c>
      <c r="E65" s="202" t="inlineStr">
        <is>
          <t>—</t>
        </is>
      </c>
      <c r="F65" s="202" t="inlineStr">
        <is>
          <t>Freeda Reshma Dsouza</t>
        </is>
      </c>
      <c r="G65" s="202" t="inlineStr">
        <is>
          <t>Online</t>
        </is>
      </c>
      <c r="H65" s="202" t="inlineStr">
        <is>
          <t>QA feedback training Module preparation</t>
        </is>
      </c>
      <c r="I65" s="203" t="n">
        <v>2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Managers 360 assessment testing</t>
        </is>
      </c>
      <c r="D66" s="202" t="inlineStr">
        <is>
          <t>2026-09-25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Managers 360 assessment testing</t>
        </is>
      </c>
      <c r="I66" s="203" t="n">
        <v>6.5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AML &amp; unsolicited SMS &amp; tips session</t>
        </is>
      </c>
      <c r="D67" s="202" t="inlineStr">
        <is>
          <t>2026-09-16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AML &amp; unsolicited SMS &amp; tips session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Support Training</t>
        </is>
      </c>
      <c r="C68" s="202" t="inlineStr">
        <is>
          <t>3L Session</t>
        </is>
      </c>
      <c r="D68" s="202" t="inlineStr">
        <is>
          <t>2026-09-28</t>
        </is>
      </c>
      <c r="E68" s="202" t="inlineStr">
        <is>
          <t>—</t>
        </is>
      </c>
      <c r="F68" s="202" t="inlineStr">
        <is>
          <t>Harish Bhat</t>
        </is>
      </c>
      <c r="G68" s="202" t="inlineStr">
        <is>
          <t>Online</t>
        </is>
      </c>
      <c r="H68" s="202" t="inlineStr">
        <is>
          <t>3L Session</t>
        </is>
      </c>
      <c r="I68" s="203" t="n">
        <v>1</v>
      </c>
    </row>
    <row r="69" ht="15.75" customHeight="1" s="156">
      <c r="A69" s="201" t="n">
        <v>63</v>
      </c>
      <c r="B69" s="202" t="inlineStr">
        <is>
          <t>Assessment</t>
        </is>
      </c>
      <c r="C69" s="202" t="inlineStr">
        <is>
          <t>QIP Final Assessment</t>
        </is>
      </c>
      <c r="D69" s="202" t="inlineStr">
        <is>
          <t>2026-09-04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QIP Final Assessment</t>
        </is>
      </c>
      <c r="I69" s="203" t="n">
        <v>1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New Hire batch training</t>
        </is>
      </c>
      <c r="D70" s="205" t="inlineStr">
        <is>
          <t>2026-09-04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New Hire batch training</t>
        </is>
      </c>
      <c r="I70" s="206" t="n">
        <v>5</v>
      </c>
    </row>
    <row r="71" ht="15.75" customHeight="1" s="156">
      <c r="A71" s="201" t="n">
        <v>65</v>
      </c>
      <c r="B71" s="202" t="inlineStr">
        <is>
          <t>Other</t>
        </is>
      </c>
      <c r="C71" s="202" t="inlineStr">
        <is>
          <t>varsity tickets</t>
        </is>
      </c>
      <c r="D71" s="202" t="inlineStr">
        <is>
          <t>2026-09-01</t>
        </is>
      </c>
      <c r="E71" s="202" t="inlineStr">
        <is>
          <t>—</t>
        </is>
      </c>
      <c r="F71" s="202" t="inlineStr">
        <is>
          <t>Harish Bhat</t>
        </is>
      </c>
      <c r="G71" s="202" t="inlineStr">
        <is>
          <t>Online</t>
        </is>
      </c>
      <c r="H71" s="202" t="inlineStr">
        <is>
          <t>varsity tickets</t>
        </is>
      </c>
      <c r="I71" s="203" t="n">
        <v>0.15</v>
      </c>
    </row>
    <row r="72" ht="15.75" customHeight="1" s="156">
      <c r="A72" s="201" t="n">
        <v>66</v>
      </c>
      <c r="B72" s="202" t="inlineStr">
        <is>
          <t>Other</t>
        </is>
      </c>
      <c r="C72" s="202" t="inlineStr">
        <is>
          <t>varsity tickets</t>
        </is>
      </c>
      <c r="D72" s="202" t="inlineStr">
        <is>
          <t>2026-09-02</t>
        </is>
      </c>
      <c r="E72" s="202" t="inlineStr">
        <is>
          <t>—</t>
        </is>
      </c>
      <c r="F72" s="202" t="inlineStr">
        <is>
          <t>Harish Bhat</t>
        </is>
      </c>
      <c r="G72" s="202" t="inlineStr">
        <is>
          <t>Online</t>
        </is>
      </c>
      <c r="H72" s="202" t="inlineStr">
        <is>
          <t>varsity tickets</t>
        </is>
      </c>
      <c r="I72" s="203" t="n">
        <v>0.15</v>
      </c>
    </row>
    <row r="73" ht="15.75" customHeight="1" s="156">
      <c r="A73" s="201" t="n">
        <v>67</v>
      </c>
      <c r="B73" s="202" t="inlineStr">
        <is>
          <t>Other</t>
        </is>
      </c>
      <c r="C73" s="202" t="inlineStr">
        <is>
          <t>varsity tickets</t>
        </is>
      </c>
      <c r="D73" s="202" t="inlineStr">
        <is>
          <t>2026-09-03</t>
        </is>
      </c>
      <c r="E73" s="202" t="inlineStr">
        <is>
          <t>—</t>
        </is>
      </c>
      <c r="F73" s="202" t="inlineStr">
        <is>
          <t>Harish Bhat</t>
        </is>
      </c>
      <c r="G73" s="202" t="inlineStr">
        <is>
          <t>Online</t>
        </is>
      </c>
      <c r="H73" s="202" t="inlineStr">
        <is>
          <t>varsity tickets</t>
        </is>
      </c>
      <c r="I73" s="203" t="n">
        <v>0.15</v>
      </c>
    </row>
    <row r="74" ht="15.75" customHeight="1" s="156">
      <c r="A74" s="201" t="n">
        <v>68</v>
      </c>
      <c r="B74" s="202" t="inlineStr">
        <is>
          <t>Other</t>
        </is>
      </c>
      <c r="C74" s="202" t="inlineStr">
        <is>
          <t>varsity tickets</t>
        </is>
      </c>
      <c r="D74" s="202" t="inlineStr">
        <is>
          <t>2026-09-04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varsity tickets</t>
        </is>
      </c>
      <c r="I74" s="203" t="n">
        <v>0.15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varsity tickets</t>
        </is>
      </c>
      <c r="D75" s="202" t="inlineStr">
        <is>
          <t>2026-09-07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varsity tickets</t>
        </is>
      </c>
      <c r="I75" s="203" t="n">
        <v>0.15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varsity tickets</t>
        </is>
      </c>
      <c r="D76" s="202" t="inlineStr">
        <is>
          <t>2026-09-08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varsity tickets</t>
        </is>
      </c>
      <c r="I76" s="203" t="n">
        <v>0.15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2026-09-09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0.15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2026-09-10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0.15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2026-09-11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0.15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3L (Listen, Learn, Lead)</t>
        </is>
      </c>
      <c r="D80" s="202" t="inlineStr">
        <is>
          <t>2026-09-28</t>
        </is>
      </c>
      <c r="E80" s="202" t="inlineStr">
        <is>
          <t>—</t>
        </is>
      </c>
      <c r="F80" s="202" t="inlineStr">
        <is>
          <t>Girish A</t>
        </is>
      </c>
      <c r="G80" s="202" t="inlineStr">
        <is>
          <t>Online</t>
        </is>
      </c>
      <c r="H80" s="202" t="inlineStr">
        <is>
          <t>3L (Listen, Learn, Lead)</t>
        </is>
      </c>
      <c r="I80" s="203" t="n">
        <v>0.45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3L (Listen, Learn, Lead)</t>
        </is>
      </c>
      <c r="D81" s="202" t="inlineStr">
        <is>
          <t>2026-09-29</t>
        </is>
      </c>
      <c r="E81" s="202" t="inlineStr">
        <is>
          <t>—</t>
        </is>
      </c>
      <c r="F81" s="202" t="inlineStr">
        <is>
          <t>Girish A</t>
        </is>
      </c>
      <c r="G81" s="202" t="inlineStr">
        <is>
          <t>Online</t>
        </is>
      </c>
      <c r="H81" s="202" t="inlineStr">
        <is>
          <t>3L (Listen, Learn, Lead)</t>
        </is>
      </c>
      <c r="I81" s="203" t="n">
        <v>0.3</v>
      </c>
    </row>
    <row r="82" ht="15.75" customHeight="1" s="156">
      <c r="A82" s="204" t="n">
        <v>76</v>
      </c>
      <c r="B82" s="205" t="inlineStr">
        <is>
          <t>Other</t>
        </is>
      </c>
      <c r="C82" s="205" t="inlineStr">
        <is>
          <t>varsity tickets</t>
        </is>
      </c>
      <c r="D82" s="205" t="inlineStr">
        <is>
          <t>2026-09-14</t>
        </is>
      </c>
      <c r="E82" s="205" t="inlineStr">
        <is>
          <t>—</t>
        </is>
      </c>
      <c r="F82" s="205" t="inlineStr">
        <is>
          <t>Harish Bhat</t>
        </is>
      </c>
      <c r="G82" s="205" t="inlineStr">
        <is>
          <t>Offline</t>
        </is>
      </c>
      <c r="H82" s="205" t="inlineStr">
        <is>
          <t>varsity tickets</t>
        </is>
      </c>
      <c r="I82" s="206" t="n">
        <v>0.15</v>
      </c>
    </row>
    <row r="83" ht="15.75" customHeight="1" s="156">
      <c r="A83" s="204" t="n">
        <v>77</v>
      </c>
      <c r="B83" s="205" t="inlineStr">
        <is>
          <t>Other</t>
        </is>
      </c>
      <c r="C83" s="205" t="inlineStr">
        <is>
          <t>varsity tickets</t>
        </is>
      </c>
      <c r="D83" s="205" t="inlineStr">
        <is>
          <t>2026-09-15</t>
        </is>
      </c>
      <c r="E83" s="205" t="inlineStr">
        <is>
          <t>—</t>
        </is>
      </c>
      <c r="F83" s="205" t="inlineStr">
        <is>
          <t>Harish Bhat</t>
        </is>
      </c>
      <c r="G83" s="205" t="inlineStr">
        <is>
          <t>Offline</t>
        </is>
      </c>
      <c r="H83" s="205" t="inlineStr">
        <is>
          <t>varsity tickets</t>
        </is>
      </c>
      <c r="I83" s="206" t="n">
        <v>0.15</v>
      </c>
    </row>
    <row r="84" ht="15.75" customHeight="1" s="156">
      <c r="A84" s="204" t="n">
        <v>78</v>
      </c>
      <c r="B84" s="205" t="inlineStr">
        <is>
          <t>Other</t>
        </is>
      </c>
      <c r="C84" s="205" t="inlineStr">
        <is>
          <t>varsity tickets</t>
        </is>
      </c>
      <c r="D84" s="205" t="inlineStr">
        <is>
          <t>2026-09-16</t>
        </is>
      </c>
      <c r="E84" s="205" t="inlineStr">
        <is>
          <t>—</t>
        </is>
      </c>
      <c r="F84" s="205" t="inlineStr">
        <is>
          <t>Harish Bhat</t>
        </is>
      </c>
      <c r="G84" s="205" t="inlineStr">
        <is>
          <t>Offline</t>
        </is>
      </c>
      <c r="H84" s="205" t="inlineStr">
        <is>
          <t>varsity tickets</t>
        </is>
      </c>
      <c r="I84" s="206" t="n">
        <v>0.15</v>
      </c>
    </row>
    <row r="85" ht="15.75" customHeight="1" s="156">
      <c r="A85" s="204" t="n">
        <v>79</v>
      </c>
      <c r="B85" s="205" t="inlineStr">
        <is>
          <t>Other</t>
        </is>
      </c>
      <c r="C85" s="205" t="inlineStr">
        <is>
          <t>varsity tickets</t>
        </is>
      </c>
      <c r="D85" s="205" t="inlineStr">
        <is>
          <t>2026-09-17</t>
        </is>
      </c>
      <c r="E85" s="205" t="inlineStr">
        <is>
          <t>—</t>
        </is>
      </c>
      <c r="F85" s="205" t="inlineStr">
        <is>
          <t>Harish Bhat</t>
        </is>
      </c>
      <c r="G85" s="205" t="inlineStr">
        <is>
          <t>Offline</t>
        </is>
      </c>
      <c r="H85" s="205" t="inlineStr">
        <is>
          <t>varsity tickets</t>
        </is>
      </c>
      <c r="I85" s="206" t="n">
        <v>0.15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varsity tickets</t>
        </is>
      </c>
      <c r="D86" s="205" t="inlineStr">
        <is>
          <t>2026-09-18</t>
        </is>
      </c>
      <c r="E86" s="205" t="inlineStr">
        <is>
          <t>—</t>
        </is>
      </c>
      <c r="F86" s="205" t="inlineStr">
        <is>
          <t>Harish Bhat</t>
        </is>
      </c>
      <c r="G86" s="205" t="inlineStr">
        <is>
          <t>Offline</t>
        </is>
      </c>
      <c r="H86" s="205" t="inlineStr">
        <is>
          <t>varsity tickets</t>
        </is>
      </c>
      <c r="I86" s="206" t="n">
        <v>0.15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2026-09-21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0.15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2026-09-22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0.15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2026-09-23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0.15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2026-09-24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0.15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2026-09-25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0.15</v>
      </c>
    </row>
    <row r="92" ht="15.75" customHeight="1" s="156">
      <c r="A92" s="204" t="n">
        <v>86</v>
      </c>
      <c r="B92" s="205" t="inlineStr">
        <is>
          <t>Support Training</t>
        </is>
      </c>
      <c r="C92" s="205" t="inlineStr">
        <is>
          <t>New hire batch training (OJT)</t>
        </is>
      </c>
      <c r="D92" s="205" t="inlineStr">
        <is>
          <t>2026-09-16</t>
        </is>
      </c>
      <c r="E92" s="205" t="inlineStr">
        <is>
          <t>—</t>
        </is>
      </c>
      <c r="F92" s="205" t="inlineStr">
        <is>
          <t>Girish A</t>
        </is>
      </c>
      <c r="G92" s="205" t="inlineStr">
        <is>
          <t>Offline</t>
        </is>
      </c>
      <c r="H92" s="205" t="inlineStr">
        <is>
          <t>New hire batch training (OJT)</t>
        </is>
      </c>
      <c r="I92" s="206" t="n">
        <v>4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2026-09-28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0.15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2026-09-29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0.15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2026-09-30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0.15</v>
      </c>
    </row>
    <row r="96" ht="15.75" customHeight="1" s="156">
      <c r="A96" s="207" t="inlineStr">
        <is>
          <t>TOTAL MAN HOURS THIS MONTH</t>
        </is>
      </c>
      <c r="B96" s="207" t="n"/>
      <c r="C96" s="207" t="n"/>
      <c r="D96" s="207" t="n"/>
      <c r="E96" s="207" t="n"/>
      <c r="F96" s="207" t="n"/>
      <c r="G96" s="207" t="n"/>
      <c r="H96" s="207" t="n"/>
      <c r="I96" s="208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New hire batch training (OJT)</t>
        </is>
      </c>
      <c r="D8" s="205" t="inlineStr">
        <is>
          <t>2026-10-05</t>
        </is>
      </c>
      <c r="E8" s="205" t="inlineStr">
        <is>
          <t>—</t>
        </is>
      </c>
      <c r="F8" s="205" t="inlineStr">
        <is>
          <t>Girish A</t>
        </is>
      </c>
      <c r="G8" s="205" t="inlineStr">
        <is>
          <t>Offline</t>
        </is>
      </c>
      <c r="H8" s="205" t="inlineStr">
        <is>
          <t>New hire batch training (OJT)</t>
        </is>
      </c>
      <c r="I8" s="206" t="n">
        <v>6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New hire batch training (OJT)</t>
        </is>
      </c>
      <c r="D9" s="205" t="inlineStr">
        <is>
          <t>2026-10-06</t>
        </is>
      </c>
      <c r="E9" s="205" t="inlineStr">
        <is>
          <t>—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New hire batch training (OJT)</t>
        </is>
      </c>
      <c r="I9" s="206" t="n">
        <v>6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New hire batch training (OJT)</t>
        </is>
      </c>
      <c r="D10" s="205" t="inlineStr">
        <is>
          <t>2026-10-07</t>
        </is>
      </c>
      <c r="E10" s="205" t="inlineStr">
        <is>
          <t>—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New hire batch training (OJT)</t>
        </is>
      </c>
      <c r="I10" s="206" t="n">
        <v>6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New hire batch training (OJT)</t>
        </is>
      </c>
      <c r="D11" s="205" t="inlineStr">
        <is>
          <t>2026-10-08</t>
        </is>
      </c>
      <c r="E11" s="205" t="inlineStr">
        <is>
          <t>—</t>
        </is>
      </c>
      <c r="F11" s="205" t="inlineStr">
        <is>
          <t>Girish A</t>
        </is>
      </c>
      <c r="G11" s="205" t="inlineStr">
        <is>
          <t>Offline</t>
        </is>
      </c>
      <c r="H11" s="205" t="inlineStr">
        <is>
          <t>New hire batch training (OJT)</t>
        </is>
      </c>
      <c r="I11" s="206" t="n">
        <v>6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New hire batch training (OJT)</t>
        </is>
      </c>
      <c r="D12" s="205" t="inlineStr">
        <is>
          <t>2026-10-09</t>
        </is>
      </c>
      <c r="E12" s="205" t="inlineStr">
        <is>
          <t>—</t>
        </is>
      </c>
      <c r="F12" s="205" t="inlineStr">
        <is>
          <t>Girish A</t>
        </is>
      </c>
      <c r="G12" s="205" t="inlineStr">
        <is>
          <t>Offline</t>
        </is>
      </c>
      <c r="H12" s="205" t="inlineStr">
        <is>
          <t>New hire batch training (OJT)</t>
        </is>
      </c>
      <c r="I12" s="206" t="n">
        <v>6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Managers 360 assessment - Presentation</t>
        </is>
      </c>
      <c r="D13" s="205" t="inlineStr">
        <is>
          <t>2026-10-06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Managers 360 assessment - Presentation</t>
        </is>
      </c>
      <c r="I13" s="206" t="n">
        <v>6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Managers 360 assessment - Presentation</t>
        </is>
      </c>
      <c r="D14" s="205" t="inlineStr">
        <is>
          <t>2026-10-05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Managers 360 assessment - Presentation</t>
        </is>
      </c>
      <c r="I14" s="206" t="n">
        <v>6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Managers 360 assessment - Presentation</t>
        </is>
      </c>
      <c r="D15" s="205" t="inlineStr">
        <is>
          <t>2026-10-07</t>
        </is>
      </c>
      <c r="E15" s="205" t="inlineStr">
        <is>
          <t>—</t>
        </is>
      </c>
      <c r="F15" s="205" t="inlineStr">
        <is>
          <t>Freeda Reshma Dsouza</t>
        </is>
      </c>
      <c r="G15" s="205" t="inlineStr">
        <is>
          <t>Offline</t>
        </is>
      </c>
      <c r="H15" s="205" t="inlineStr">
        <is>
          <t>Managers 360 assessment - Presentation</t>
        </is>
      </c>
      <c r="I15" s="206" t="n">
        <v>6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Managers 360 assessment - Presentation</t>
        </is>
      </c>
      <c r="D16" s="205" t="inlineStr">
        <is>
          <t>2026-10-08</t>
        </is>
      </c>
      <c r="E16" s="205" t="inlineStr">
        <is>
          <t>—</t>
        </is>
      </c>
      <c r="F16" s="205" t="inlineStr">
        <is>
          <t>Freeda Reshma Dsouza</t>
        </is>
      </c>
      <c r="G16" s="205" t="inlineStr">
        <is>
          <t>Offline</t>
        </is>
      </c>
      <c r="H16" s="205" t="inlineStr">
        <is>
          <t>Managers 360 assessment - Presentation</t>
        </is>
      </c>
      <c r="I16" s="206" t="n">
        <v>6</v>
      </c>
    </row>
    <row r="17" ht="21.75" customHeight="1" s="156">
      <c r="A17" s="201" t="n">
        <v>11</v>
      </c>
      <c r="B17" s="202" t="inlineStr">
        <is>
          <t>Other</t>
        </is>
      </c>
      <c r="C17" s="202" t="inlineStr">
        <is>
          <t>varsity tickets</t>
        </is>
      </c>
      <c r="D17" s="202" t="inlineStr">
        <is>
          <t>2026-10-01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varsity tickets</t>
        </is>
      </c>
      <c r="I17" s="203" t="n">
        <v>0.15</v>
      </c>
    </row>
    <row r="18" ht="21.75" customHeight="1" s="156">
      <c r="A18" s="201" t="n">
        <v>12</v>
      </c>
      <c r="B18" s="202" t="inlineStr">
        <is>
          <t>Other</t>
        </is>
      </c>
      <c r="C18" s="202" t="inlineStr">
        <is>
          <t>varsity tickets</t>
        </is>
      </c>
      <c r="D18" s="202" t="inlineStr">
        <is>
          <t>2026-10-02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varsity tickets</t>
        </is>
      </c>
      <c r="I18" s="203" t="n">
        <v>0.15</v>
      </c>
    </row>
    <row r="19" ht="21.75" customHeight="1" s="156">
      <c r="A19" s="207" t="inlineStr">
        <is>
          <t>TOTAL MAN HOURS THIS MONTH</t>
        </is>
      </c>
      <c r="B19" s="207" t="n"/>
      <c r="C19" s="207" t="n"/>
      <c r="D19" s="207" t="n"/>
      <c r="E19" s="207" t="n"/>
      <c r="F19" s="207" t="n"/>
      <c r="G19" s="207" t="n"/>
      <c r="H19" s="207" t="n"/>
      <c r="I19" s="208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2026-10-12T10:09:16Z</dcterms:created>
  <dcterms:modified xsi:type="dcterms:W3CDTF">2026-10-12T10:09:22Z</dcterms:modified>
</cp:coreProperties>
</file>