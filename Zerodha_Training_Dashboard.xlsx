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IFERROR(__xludf.DUMMYFUNCTION("IFERROR(filter(Data!$A$2:$A$200,((Data!$A$2:$A$200=$D$6)+($D$6=""All Months""))*(Data!$A$2:$A$200&lt;&gt;"""")),"""")"),"April 2026")</f>
        <v/>
      </c>
      <c r="C63" s="41">
        <f>IFERROR(__xludf.DUMMYFUNCTION("IFERROR(filter(Data!$B$2:$B$200,((Data!$A$2:$A$200=$D$6)+($D$6=""All Months""))*(Data!$A$2:$A$200&lt;&gt;"""")),"""")"),"Support Training")</f>
        <v/>
      </c>
      <c r="D63" s="34" t="n"/>
      <c r="E63" s="41">
        <f>IFERROR(__xludf.DUMMYFUNCTION("IFERROR(filter(Data!$C$2:$C$200,((Data!$A$2:$A$200=$D$6)+($D$6=""All Months""))*(Data!$A$2:$A$200&lt;&gt;"""")),"""")"),"Batch 2 - C360 Training")</f>
        <v/>
      </c>
      <c r="F63" s="34" t="n"/>
      <c r="G63" s="41">
        <f>IFERROR(__xludf.DUMMYFUNCTION("IFERROR(filter(Data!$D$2:$D$200,((Data!$A$2:$A$200=$D$6)+($D$6=""All Months""))*(Data!$A$2:$A$200&lt;&gt;"""")),"""")"),"7-Apr")</f>
        <v/>
      </c>
      <c r="H63" s="41">
        <f>IFERROR(__xludf.DUMMYFUNCTION("IFERROR(filter(Data!$E$2:$E$200,((Data!$A$2:$A$200=$D$6)+($D$6=""All Months""))*(Data!$A$2:$A$200&lt;&gt;"""")),"""")"),"10-Apr")</f>
        <v/>
      </c>
      <c r="I63" s="34" t="n"/>
      <c r="J63" s="41">
        <f>IFERROR(__xludf.DUMMYFUNCTION("IFERROR(filter(Data!$F$2:$F$200,((Data!$A$2:$A$200=$D$6)+($D$6=""All Months""))*(Data!$A$2:$A$200&lt;&gt;"""")),"""")"),"Freeda Reshma Dsouza")</f>
        <v/>
      </c>
      <c r="K63" s="34" t="n"/>
      <c r="L63" s="41">
        <f>IFERROR(__xludf.DUMMYFUNCTION("IFERROR(filter(Data!$G$2:$G$200,((Data!$A$2:$A$200=$D$6)+($D$6=""All Months""))*(Data!$A$2:$A$200&lt;&gt;"""")),"""")"),"Offline")</f>
        <v/>
      </c>
      <c r="M63" s="34" t="n"/>
      <c r="N63" s="41">
        <f>IFERROR(__xludf.DUMMYFUNCTION("IFERROR(filter(Data!$H$2:$H$200,((Data!$A$2:$A$200=$D$6)+($D$6=""All Months""))*(Data!$A$2:$A$200&lt;&gt;"""")),"""")"),"Assessment - Communicate 360")</f>
        <v/>
      </c>
      <c r="O63" s="34" t="n"/>
      <c r="P63" s="34" t="n"/>
      <c r="Q63" s="41">
        <f>IFERROR(__xludf.DUMMYFUNCTION("IFERROR(filter(Data!$I$2:$I$200,((Data!$A$2:$A$200=$D$6)+($D$6=""All Months""))*(Data!$A$2:$A$200&lt;&gt;"""")),"""")"),20.0)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>
        <f>IFERROR(__xludf.DUMMYFUNCTION("""COMPUTED_VALUE"""),"April 2026")</f>
        <v/>
      </c>
      <c r="C64" s="42">
        <f>IFERROR(__xludf.DUMMYFUNCTION("""COMPUTED_VALUE"""),"Support Training")</f>
        <v/>
      </c>
      <c r="D64" s="29" t="n"/>
      <c r="E64" s="42">
        <f>IFERROR(__xludf.DUMMYFUNCTION("""COMPUTED_VALUE"""),"Batch 3 - C360 Training")</f>
        <v/>
      </c>
      <c r="F64" s="29" t="n"/>
      <c r="G64" s="42">
        <f>IFERROR(__xludf.DUMMYFUNCTION("""COMPUTED_VALUE"""),"21-Apr")</f>
        <v/>
      </c>
      <c r="H64" s="42">
        <f>IFERROR(__xludf.DUMMYFUNCTION("""COMPUTED_VALUE"""),"24-Apr")</f>
        <v/>
      </c>
      <c r="I64" s="29" t="n"/>
      <c r="J64" s="42">
        <f>IFERROR(__xludf.DUMMYFUNCTION("""COMPUTED_VALUE"""),"Freeda Reshma Dsouza")</f>
        <v/>
      </c>
      <c r="K64" s="29" t="n"/>
      <c r="L64" s="42">
        <f>IFERROR(__xludf.DUMMYFUNCTION("""COMPUTED_VALUE"""),"Offline")</f>
        <v/>
      </c>
      <c r="M64" s="29" t="n"/>
      <c r="N64" s="42">
        <f>IFERROR(__xludf.DUMMYFUNCTION("""COMPUTED_VALUE"""),"Assessment - Communicate 360")</f>
        <v/>
      </c>
      <c r="O64" s="29" t="n"/>
      <c r="P64" s="29" t="n"/>
      <c r="Q64" s="42">
        <f>IFERROR(__xludf.DUMMYFUNCTION("""COMPUTED_VALUE"""),20.0)</f>
        <v/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>
        <f>IFERROR(__xludf.DUMMYFUNCTION("""COMPUTED_VALUE"""),"April 2026")</f>
        <v/>
      </c>
      <c r="C65" s="43">
        <f>IFERROR(__xludf.DUMMYFUNCTION("""COMPUTED_VALUE"""),"Support Training")</f>
        <v/>
      </c>
      <c r="D65" s="34" t="n"/>
      <c r="E65" s="43">
        <f>IFERROR(__xludf.DUMMYFUNCTION("""COMPUTED_VALUE"""),"Batch 2 - C360 Training (Girish)")</f>
        <v/>
      </c>
      <c r="F65" s="34" t="n"/>
      <c r="G65" s="43">
        <f>IFERROR(__xludf.DUMMYFUNCTION("""COMPUTED_VALUE"""),"21-Apr")</f>
        <v/>
      </c>
      <c r="H65" s="43">
        <f>IFERROR(__xludf.DUMMYFUNCTION("""COMPUTED_VALUE"""),"24-Apr")</f>
        <v/>
      </c>
      <c r="I65" s="34" t="n"/>
      <c r="J65" s="43">
        <f>IFERROR(__xludf.DUMMYFUNCTION("""COMPUTED_VALUE"""),"Girish A")</f>
        <v/>
      </c>
      <c r="K65" s="34" t="n"/>
      <c r="L65" s="43">
        <f>IFERROR(__xludf.DUMMYFUNCTION("""COMPUTED_VALUE"""),"Offline")</f>
        <v/>
      </c>
      <c r="M65" s="34" t="n"/>
      <c r="N65" s="43">
        <f>IFERROR(__xludf.DUMMYFUNCTION("""COMPUTED_VALUE"""),"Assessment - Communicate 360")</f>
        <v/>
      </c>
      <c r="O65" s="34" t="n"/>
      <c r="P65" s="34" t="n"/>
      <c r="Q65" s="43">
        <f>IFERROR(__xludf.DUMMYFUNCTION("""COMPUTED_VALUE"""),9.0)</f>
        <v/>
      </c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>
        <f>IFERROR(__xludf.DUMMYFUNCTION("""COMPUTED_VALUE"""),"April 2026")</f>
        <v/>
      </c>
      <c r="C66" s="42">
        <f>IFERROR(__xludf.DUMMYFUNCTION("""COMPUTED_VALUE"""),"Support Training")</f>
        <v/>
      </c>
      <c r="D66" s="29" t="n"/>
      <c r="E66" s="42">
        <f>IFERROR(__xludf.DUMMYFUNCTION("""COMPUTED_VALUE"""),"Batch - C360 Training (Harish)")</f>
        <v/>
      </c>
      <c r="F66" s="29" t="n"/>
      <c r="G66" s="42">
        <f>IFERROR(__xludf.DUMMYFUNCTION("""COMPUTED_VALUE"""),"21-Apr")</f>
        <v/>
      </c>
      <c r="H66" s="42">
        <f>IFERROR(__xludf.DUMMYFUNCTION("""COMPUTED_VALUE"""),"24-Apr")</f>
        <v/>
      </c>
      <c r="I66" s="29" t="n"/>
      <c r="J66" s="42">
        <f>IFERROR(__xludf.DUMMYFUNCTION("""COMPUTED_VALUE"""),"Harish Bhat")</f>
        <v/>
      </c>
      <c r="K66" s="29" t="n"/>
      <c r="L66" s="42">
        <f>IFERROR(__xludf.DUMMYFUNCTION("""COMPUTED_VALUE"""),"Offline")</f>
        <v/>
      </c>
      <c r="M66" s="29" t="n"/>
      <c r="N66" s="42">
        <f>IFERROR(__xludf.DUMMYFUNCTION("""COMPUTED_VALUE"""),"Assessment - Communicate 360")</f>
        <v/>
      </c>
      <c r="O66" s="29" t="n"/>
      <c r="P66" s="29" t="n"/>
      <c r="Q66" s="42">
        <f>IFERROR(__xludf.DUMMYFUNCTION("""COMPUTED_VALUE"""),9.0)</f>
        <v/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>
        <f>IFERROR(__xludf.DUMMYFUNCTION("""COMPUTED_VALUE"""),"April 2026")</f>
        <v/>
      </c>
      <c r="C67" s="43">
        <f>IFERROR(__xludf.DUMMYFUNCTION("""COMPUTED_VALUE"""),"Support Training")</f>
        <v/>
      </c>
      <c r="D67" s="34" t="n"/>
      <c r="E67" s="43">
        <f>IFERROR(__xludf.DUMMYFUNCTION("""COMPUTED_VALUE"""),"Tool Building - C360 Modifications")</f>
        <v/>
      </c>
      <c r="F67" s="34" t="n"/>
      <c r="G67" s="43">
        <f>IFERROR(__xludf.DUMMYFUNCTION("""COMPUTED_VALUE"""),"13-Apr")</f>
        <v/>
      </c>
      <c r="H67" s="43">
        <f>IFERROR(__xludf.DUMMYFUNCTION("""COMPUTED_VALUE"""),"30-Apr")</f>
        <v/>
      </c>
      <c r="I67" s="34" t="n"/>
      <c r="J67" s="43">
        <f>IFERROR(__xludf.DUMMYFUNCTION("""COMPUTED_VALUE"""),"Raju Vernekar / Girish A / Harish Bhat")</f>
        <v/>
      </c>
      <c r="K67" s="34" t="n"/>
      <c r="L67" s="43">
        <f>IFERROR(__xludf.DUMMYFUNCTION("""COMPUTED_VALUE"""),"Offline")</f>
        <v/>
      </c>
      <c r="M67" s="34" t="n"/>
      <c r="N67" s="43">
        <f>IFERROR(__xludf.DUMMYFUNCTION("""COMPUTED_VALUE"""),"Tool Building - C360 Modifications")</f>
        <v/>
      </c>
      <c r="O67" s="34" t="n"/>
      <c r="P67" s="34" t="n"/>
      <c r="Q67" s="43">
        <f>IFERROR(__xludf.DUMMYFUNCTION("""COMPUTED_VALUE"""),15.0)</f>
        <v/>
      </c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>
        <f>IFERROR(__xludf.DUMMYFUNCTION("""COMPUTED_VALUE"""),"April 2026")</f>
        <v/>
      </c>
      <c r="C68" s="42">
        <f>IFERROR(__xludf.DUMMYFUNCTION("""COMPUTED_VALUE"""),"Assessment")</f>
        <v/>
      </c>
      <c r="D68" s="29" t="n"/>
      <c r="E68" s="42">
        <f>IFERROR(__xludf.DUMMYFUNCTION("""COMPUTED_VALUE"""),"Batch 1 - Correction C360")</f>
        <v/>
      </c>
      <c r="F68" s="29" t="n"/>
      <c r="G68" s="42">
        <f>IFERROR(__xludf.DUMMYFUNCTION("""COMPUTED_VALUE"""),"11-Apr")</f>
        <v/>
      </c>
      <c r="H68" s="42">
        <f>IFERROR(__xludf.DUMMYFUNCTION("""COMPUTED_VALUE"""),"15-Apr")</f>
        <v/>
      </c>
      <c r="I68" s="29" t="n"/>
      <c r="J68" s="42">
        <f>IFERROR(__xludf.DUMMYFUNCTION("""COMPUTED_VALUE"""),"Freeda Reshma Dsouza / Girish A / Harish Bhat")</f>
        <v/>
      </c>
      <c r="K68" s="29" t="n"/>
      <c r="L68" s="42">
        <f>IFERROR(__xludf.DUMMYFUNCTION("""COMPUTED_VALUE"""),"Offline")</f>
        <v/>
      </c>
      <c r="M68" s="29" t="n"/>
      <c r="N68" s="42">
        <f>IFERROR(__xludf.DUMMYFUNCTION("""COMPUTED_VALUE"""),"Correction of Assessment - C360")</f>
        <v/>
      </c>
      <c r="O68" s="29" t="n"/>
      <c r="P68" s="29" t="n"/>
      <c r="Q68" s="42">
        <f>IFERROR(__xludf.DUMMYFUNCTION("""COMPUTED_VALUE"""),30.0)</f>
        <v/>
      </c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>
        <f>IFERROR(__xludf.DUMMYFUNCTION("""COMPUTED_VALUE"""),"April 2026")</f>
        <v/>
      </c>
      <c r="C69" s="43">
        <f>IFERROR(__xludf.DUMMYFUNCTION("""COMPUTED_VALUE"""),"Assessment")</f>
        <v/>
      </c>
      <c r="D69" s="34" t="n"/>
      <c r="E69" s="43">
        <f>IFERROR(__xludf.DUMMYFUNCTION("""COMPUTED_VALUE"""),"Batch 2 - Correction C360")</f>
        <v/>
      </c>
      <c r="F69" s="34" t="n"/>
      <c r="G69" s="43">
        <f>IFERROR(__xludf.DUMMYFUNCTION("""COMPUTED_VALUE"""),"27-Apr")</f>
        <v/>
      </c>
      <c r="H69" s="43">
        <f>IFERROR(__xludf.DUMMYFUNCTION("""COMPUTED_VALUE"""),"30-Apr")</f>
        <v/>
      </c>
      <c r="I69" s="34" t="n"/>
      <c r="J69" s="43">
        <f>IFERROR(__xludf.DUMMYFUNCTION("""COMPUTED_VALUE"""),"Girish A / Harish Bhat")</f>
        <v/>
      </c>
      <c r="K69" s="34" t="n"/>
      <c r="L69" s="43">
        <f>IFERROR(__xludf.DUMMYFUNCTION("""COMPUTED_VALUE"""),"Offline")</f>
        <v/>
      </c>
      <c r="M69" s="34" t="n"/>
      <c r="N69" s="43">
        <f>IFERROR(__xludf.DUMMYFUNCTION("""COMPUTED_VALUE"""),"Correction of Assessment - C360")</f>
        <v/>
      </c>
      <c r="O69" s="34" t="n"/>
      <c r="P69" s="34" t="n"/>
      <c r="Q69" s="43">
        <f>IFERROR(__xludf.DUMMYFUNCTION("""COMPUTED_VALUE"""),15.0)</f>
        <v/>
      </c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>
        <f>IFERROR(__xludf.DUMMYFUNCTION("""COMPUTED_VALUE"""),"April 2026")</f>
        <v/>
      </c>
      <c r="C70" s="42">
        <f>IFERROR(__xludf.DUMMYFUNCTION("""COMPUTED_VALUE"""),"Support Training")</f>
        <v/>
      </c>
      <c r="D70" s="29" t="n"/>
      <c r="E70" s="42">
        <f>IFERROR(__xludf.DUMMYFUNCTION("""COMPUTED_VALUE"""),"Batch 1&amp;2 Report Generation - C360")</f>
        <v/>
      </c>
      <c r="F70" s="29" t="n"/>
      <c r="G70" s="42">
        <f>IFERROR(__xludf.DUMMYFUNCTION("""COMPUTED_VALUE"""),"21-Apr")</f>
        <v/>
      </c>
      <c r="H70" s="42">
        <f>IFERROR(__xludf.DUMMYFUNCTION("""COMPUTED_VALUE"""),"21-Apr")</f>
        <v/>
      </c>
      <c r="I70" s="29" t="n"/>
      <c r="J70" s="42">
        <f>IFERROR(__xludf.DUMMYFUNCTION("""COMPUTED_VALUE"""),"Harish Bhat")</f>
        <v/>
      </c>
      <c r="K70" s="29" t="n"/>
      <c r="L70" s="42">
        <f>IFERROR(__xludf.DUMMYFUNCTION("""COMPUTED_VALUE"""),"Offline")</f>
        <v/>
      </c>
      <c r="M70" s="29" t="n"/>
      <c r="N70" s="42">
        <f>IFERROR(__xludf.DUMMYFUNCTION("""COMPUTED_VALUE"""),"Report Generation - C360")</f>
        <v/>
      </c>
      <c r="O70" s="29" t="n"/>
      <c r="P70" s="29" t="n"/>
      <c r="Q70" s="42">
        <f>IFERROR(__xludf.DUMMYFUNCTION("""COMPUTED_VALUE"""),8.0)</f>
        <v/>
      </c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>
        <f>IFERROR(__xludf.DUMMYFUNCTION("""COMPUTED_VALUE"""),"April 2026")</f>
        <v/>
      </c>
      <c r="C71" s="43">
        <f>IFERROR(__xludf.DUMMYFUNCTION("""COMPUTED_VALUE"""),"Accop Training")</f>
        <v/>
      </c>
      <c r="D71" s="34" t="n"/>
      <c r="E71" s="43">
        <f>IFERROR(__xludf.DUMMYFUNCTION("""COMPUTED_VALUE"""),"Session on AML &amp; Stock tips")</f>
        <v/>
      </c>
      <c r="F71" s="34" t="n"/>
      <c r="G71" s="43">
        <f>IFERROR(__xludf.DUMMYFUNCTION("""COMPUTED_VALUE"""),"23-Apr")</f>
        <v/>
      </c>
      <c r="H71" s="43">
        <f>IFERROR(__xludf.DUMMYFUNCTION("""COMPUTED_VALUE"""),"23-Apr")</f>
        <v/>
      </c>
      <c r="I71" s="34" t="n"/>
      <c r="J71" s="43">
        <f>IFERROR(__xludf.DUMMYFUNCTION("""COMPUTED_VALUE"""),"Girish A")</f>
        <v/>
      </c>
      <c r="K71" s="34" t="n"/>
      <c r="L71" s="43">
        <f>IFERROR(__xludf.DUMMYFUNCTION("""COMPUTED_VALUE"""),"Online")</f>
        <v/>
      </c>
      <c r="M71" s="34" t="n"/>
      <c r="N71" s="43">
        <f>IFERROR(__xludf.DUMMYFUNCTION("""COMPUTED_VALUE"""),"AML &amp; Stock tips")</f>
        <v/>
      </c>
      <c r="O71" s="34" t="n"/>
      <c r="P71" s="34" t="n"/>
      <c r="Q71" s="43">
        <f>IFERROR(__xludf.DUMMYFUNCTION("""COMPUTED_VALUE"""),1.75)</f>
        <v/>
      </c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>
        <f>IFERROR(__xludf.DUMMYFUNCTION("""COMPUTED_VALUE"""),"April 2026")</f>
        <v/>
      </c>
      <c r="C72" s="42">
        <f>IFERROR(__xludf.DUMMYFUNCTION("""COMPUTED_VALUE"""),"NRI Team Training")</f>
        <v/>
      </c>
      <c r="D72" s="29" t="n"/>
      <c r="E72" s="42">
        <f>IFERROR(__xludf.DUMMYFUNCTION("""COMPUTED_VALUE"""),"Session on AML &amp; Stock tips")</f>
        <v/>
      </c>
      <c r="F72" s="29" t="n"/>
      <c r="G72" s="42">
        <f>IFERROR(__xludf.DUMMYFUNCTION("""COMPUTED_VALUE"""),"27-Apr")</f>
        <v/>
      </c>
      <c r="H72" s="42">
        <f>IFERROR(__xludf.DUMMYFUNCTION("""COMPUTED_VALUE"""),"27-Apr")</f>
        <v/>
      </c>
      <c r="I72" s="29" t="n"/>
      <c r="J72" s="42">
        <f>IFERROR(__xludf.DUMMYFUNCTION("""COMPUTED_VALUE"""),"Harish Bhat")</f>
        <v/>
      </c>
      <c r="K72" s="29" t="n"/>
      <c r="L72" s="42">
        <f>IFERROR(__xludf.DUMMYFUNCTION("""COMPUTED_VALUE"""),"Online")</f>
        <v/>
      </c>
      <c r="M72" s="29" t="n"/>
      <c r="N72" s="42">
        <f>IFERROR(__xludf.DUMMYFUNCTION("""COMPUTED_VALUE"""),"AML &amp; Stock tips")</f>
        <v/>
      </c>
      <c r="O72" s="29" t="n"/>
      <c r="P72" s="29" t="n"/>
      <c r="Q72" s="42">
        <f>IFERROR(__xludf.DUMMYFUNCTION("""COMPUTED_VALUE"""),1.75)</f>
        <v/>
      </c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>
        <f>IFERROR(__xludf.DUMMYFUNCTION("""COMPUTED_VALUE"""),"April 2026")</f>
        <v/>
      </c>
      <c r="C73" s="43">
        <f>IFERROR(__xludf.DUMMYFUNCTION("""COMPUTED_VALUE"""),"Fresh Hires Training")</f>
        <v/>
      </c>
      <c r="D73" s="34" t="n"/>
      <c r="E73" s="43">
        <f>IFERROR(__xludf.DUMMYFUNCTION("""COMPUTED_VALUE"""),"Session on AML &amp; Stock tips")</f>
        <v/>
      </c>
      <c r="F73" s="34" t="n"/>
      <c r="G73" s="43">
        <f>IFERROR(__xludf.DUMMYFUNCTION("""COMPUTED_VALUE"""),"29-Apr")</f>
        <v/>
      </c>
      <c r="H73" s="43">
        <f>IFERROR(__xludf.DUMMYFUNCTION("""COMPUTED_VALUE"""),"29-Apr")</f>
        <v/>
      </c>
      <c r="I73" s="34" t="n"/>
      <c r="J73" s="43">
        <f>IFERROR(__xludf.DUMMYFUNCTION("""COMPUTED_VALUE"""),"Girish A")</f>
        <v/>
      </c>
      <c r="K73" s="34" t="n"/>
      <c r="L73" s="43">
        <f>IFERROR(__xludf.DUMMYFUNCTION("""COMPUTED_VALUE"""),"Online")</f>
        <v/>
      </c>
      <c r="M73" s="34" t="n"/>
      <c r="N73" s="43">
        <f>IFERROR(__xludf.DUMMYFUNCTION("""COMPUTED_VALUE"""),"AML &amp; Stock tips")</f>
        <v/>
      </c>
      <c r="O73" s="34" t="n"/>
      <c r="P73" s="34" t="n"/>
      <c r="Q73" s="43">
        <f>IFERROR(__xludf.DUMMYFUNCTION("""COMPUTED_VALUE"""),0.75)</f>
        <v/>
      </c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>
        <f>IFERROR(__xludf.DUMMYFUNCTION("""COMPUTED_VALUE"""),"April 2026")</f>
        <v/>
      </c>
      <c r="C74" s="42">
        <f>IFERROR(__xludf.DUMMYFUNCTION("""COMPUTED_VALUE"""),"Training Need Analysis")</f>
        <v/>
      </c>
      <c r="D74" s="29" t="n"/>
      <c r="E74" s="42">
        <f>IFERROR(__xludf.DUMMYFUNCTION("""COMPUTED_VALUE"""),"Understanding requirements from CS")</f>
        <v/>
      </c>
      <c r="F74" s="29" t="n"/>
      <c r="G74" s="42">
        <f>IFERROR(__xludf.DUMMYFUNCTION("""COMPUTED_VALUE"""),"16-Apr")</f>
        <v/>
      </c>
      <c r="H74" s="42">
        <f>IFERROR(__xludf.DUMMYFUNCTION("""COMPUTED_VALUE"""),"16-Apr")</f>
        <v/>
      </c>
      <c r="I74" s="29" t="n"/>
      <c r="J74" s="42">
        <f>IFERROR(__xludf.DUMMYFUNCTION("""COMPUTED_VALUE"""),"Freeda Reshma Dsouza")</f>
        <v/>
      </c>
      <c r="K74" s="29" t="n"/>
      <c r="L74" s="42">
        <f>IFERROR(__xludf.DUMMYFUNCTION("""COMPUTED_VALUE"""),"Online")</f>
        <v/>
      </c>
      <c r="M74" s="29" t="n"/>
      <c r="N74" s="42">
        <f>IFERROR(__xludf.DUMMYFUNCTION("""COMPUTED_VALUE"""),"Training Need Analysis")</f>
        <v/>
      </c>
      <c r="O74" s="29" t="n"/>
      <c r="P74" s="29" t="n"/>
      <c r="Q74" s="42">
        <f>IFERROR(__xludf.DUMMYFUNCTION("""COMPUTED_VALUE"""),1.0)</f>
        <v/>
      </c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>
        <f>IFERROR(__xludf.DUMMYFUNCTION("""COMPUTED_VALUE"""),"April 2026")</f>
        <v/>
      </c>
      <c r="C75" s="43">
        <f>IFERROR(__xludf.DUMMYFUNCTION("""COMPUTED_VALUE"""),"Self Assessment Form")</f>
        <v/>
      </c>
      <c r="D75" s="34" t="n"/>
      <c r="E75" s="43">
        <f>IFERROR(__xludf.DUMMYFUNCTION("""COMPUTED_VALUE"""),"Building self assessment for CS")</f>
        <v/>
      </c>
      <c r="F75" s="34" t="n"/>
      <c r="G75" s="43">
        <f>IFERROR(__xludf.DUMMYFUNCTION("""COMPUTED_VALUE"""),"17-Apr")</f>
        <v/>
      </c>
      <c r="H75" s="43">
        <f>IFERROR(__xludf.DUMMYFUNCTION("""COMPUTED_VALUE"""),"17-Apr")</f>
        <v/>
      </c>
      <c r="I75" s="34" t="n"/>
      <c r="J75" s="43">
        <f>IFERROR(__xludf.DUMMYFUNCTION("""COMPUTED_VALUE"""),"Freeda Reshma Dsouza")</f>
        <v/>
      </c>
      <c r="K75" s="34" t="n"/>
      <c r="L75" s="43">
        <f>IFERROR(__xludf.DUMMYFUNCTION("""COMPUTED_VALUE"""),"Online")</f>
        <v/>
      </c>
      <c r="M75" s="34" t="n"/>
      <c r="N75" s="43">
        <f>IFERROR(__xludf.DUMMYFUNCTION("""COMPUTED_VALUE"""),"Self Assessment")</f>
        <v/>
      </c>
      <c r="O75" s="34" t="n"/>
      <c r="P75" s="34" t="n"/>
      <c r="Q75" s="43">
        <f>IFERROR(__xludf.DUMMYFUNCTION("""COMPUTED_VALUE"""),0.5)</f>
        <v/>
      </c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>
        <f>IFERROR(__xludf.DUMMYFUNCTION("""COMPUTED_VALUE"""),"April 2026")</f>
        <v/>
      </c>
      <c r="C76" s="42">
        <f>IFERROR(__xludf.DUMMYFUNCTION("""COMPUTED_VALUE"""),"Varsity Scripts Writing")</f>
        <v/>
      </c>
      <c r="D76" s="29" t="n"/>
      <c r="E76" s="42">
        <f>IFERROR(__xludf.DUMMYFUNCTION("""COMPUTED_VALUE"""),"Script preparation")</f>
        <v/>
      </c>
      <c r="F76" s="29" t="n"/>
      <c r="G76" s="42">
        <f>IFERROR(__xludf.DUMMYFUNCTION("""COMPUTED_VALUE"""),"-")</f>
        <v/>
      </c>
      <c r="H76" s="42">
        <f>IFERROR(__xludf.DUMMYFUNCTION("""COMPUTED_VALUE"""),"-")</f>
        <v/>
      </c>
      <c r="I76" s="29" t="n"/>
      <c r="J76" s="42">
        <f>IFERROR(__xludf.DUMMYFUNCTION("""COMPUTED_VALUE"""),"Harish Bhat")</f>
        <v/>
      </c>
      <c r="K76" s="29" t="n"/>
      <c r="L76" s="42">
        <f>IFERROR(__xludf.DUMMYFUNCTION("""COMPUTED_VALUE"""),"Offline")</f>
        <v/>
      </c>
      <c r="M76" s="29" t="n"/>
      <c r="N76" s="42">
        <f>IFERROR(__xludf.DUMMYFUNCTION("""COMPUTED_VALUE"""),"Varsity Scripts")</f>
        <v/>
      </c>
      <c r="O76" s="29" t="n"/>
      <c r="P76" s="29" t="n"/>
      <c r="Q76" s="42">
        <f>IFERROR(__xludf.DUMMYFUNCTION("""COMPUTED_VALUE"""),2.0)</f>
        <v/>
      </c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>
        <f>IFERROR(__xludf.DUMMYFUNCTION("""COMPUTED_VALUE"""),"April 2026")</f>
        <v/>
      </c>
      <c r="C77" s="43">
        <f>IFERROR(__xludf.DUMMYFUNCTION("""COMPUTED_VALUE"""),"Varsity Video Shoot")</f>
        <v/>
      </c>
      <c r="D77" s="34" t="n"/>
      <c r="E77" s="43">
        <f>IFERROR(__xludf.DUMMYFUNCTION("""COMPUTED_VALUE"""),"Video recording")</f>
        <v/>
      </c>
      <c r="F77" s="34" t="n"/>
      <c r="G77" s="43">
        <f>IFERROR(__xludf.DUMMYFUNCTION("""COMPUTED_VALUE"""),"-")</f>
        <v/>
      </c>
      <c r="H77" s="43">
        <f>IFERROR(__xludf.DUMMYFUNCTION("""COMPUTED_VALUE"""),"-")</f>
        <v/>
      </c>
      <c r="I77" s="34" t="n"/>
      <c r="J77" s="43">
        <f>IFERROR(__xludf.DUMMYFUNCTION("""COMPUTED_VALUE"""),"Harish Bhat")</f>
        <v/>
      </c>
      <c r="K77" s="34" t="n"/>
      <c r="L77" s="43">
        <f>IFERROR(__xludf.DUMMYFUNCTION("""COMPUTED_VALUE"""),"Offline")</f>
        <v/>
      </c>
      <c r="M77" s="34" t="n"/>
      <c r="N77" s="43">
        <f>IFERROR(__xludf.DUMMYFUNCTION("""COMPUTED_VALUE"""),"Varsity Videos")</f>
        <v/>
      </c>
      <c r="O77" s="34" t="n"/>
      <c r="P77" s="34" t="n"/>
      <c r="Q77" s="43">
        <f>IFERROR(__xludf.DUMMYFUNCTION("""COMPUTED_VALUE"""),2.0)</f>
        <v/>
      </c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>
        <f>IFERROR(__xludf.DUMMYFUNCTION("""COMPUTED_VALUE"""),"April 2026")</f>
        <v/>
      </c>
      <c r="C78" s="42">
        <f>IFERROR(__xludf.DUMMYFUNCTION("""COMPUTED_VALUE"""),"Varsity Backend Support")</f>
        <v/>
      </c>
      <c r="D78" s="29" t="n"/>
      <c r="E78" s="42">
        <f>IFERROR(__xludf.DUMMYFUNCTION("""COMPUTED_VALUE"""),"Tickets, exam schedule, Rupee Tales")</f>
        <v/>
      </c>
      <c r="F78" s="29" t="n"/>
      <c r="G78" s="42">
        <f>IFERROR(__xludf.DUMMYFUNCTION("""COMPUTED_VALUE"""),"-")</f>
        <v/>
      </c>
      <c r="H78" s="42">
        <f>IFERROR(__xludf.DUMMYFUNCTION("""COMPUTED_VALUE"""),"-")</f>
        <v/>
      </c>
      <c r="I78" s="29" t="n"/>
      <c r="J78" s="42">
        <f>IFERROR(__xludf.DUMMYFUNCTION("""COMPUTED_VALUE"""),"Harish Bhat")</f>
        <v/>
      </c>
      <c r="K78" s="29" t="n"/>
      <c r="L78" s="42">
        <f>IFERROR(__xludf.DUMMYFUNCTION("""COMPUTED_VALUE"""),"Offline")</f>
        <v/>
      </c>
      <c r="M78" s="29" t="n"/>
      <c r="N78" s="42">
        <f>IFERROR(__xludf.DUMMYFUNCTION("""COMPUTED_VALUE"""),"Varsity Backend")</f>
        <v/>
      </c>
      <c r="O78" s="29" t="n"/>
      <c r="P78" s="29" t="n"/>
      <c r="Q78" s="42">
        <f>IFERROR(__xludf.DUMMYFUNCTION("""COMPUTED_VALUE"""),15.0)</f>
        <v/>
      </c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>
        <f>IFERROR(__xludf.DUMMYFUNCTION("""COMPUTED_VALUE"""),"April 2026")</f>
        <v/>
      </c>
      <c r="C79" s="43">
        <f>IFERROR(__xludf.DUMMYFUNCTION("""COMPUTED_VALUE"""),"Mock Calls")</f>
        <v/>
      </c>
      <c r="D79" s="34" t="n"/>
      <c r="E79" s="43">
        <f>IFERROR(__xludf.DUMMYFUNCTION("""COMPUTED_VALUE"""),"Mock calls for SM")</f>
        <v/>
      </c>
      <c r="F79" s="34" t="n"/>
      <c r="G79" s="43">
        <f>IFERROR(__xludf.DUMMYFUNCTION("""COMPUTED_VALUE"""),"30-Apr")</f>
        <v/>
      </c>
      <c r="H79" s="43">
        <f>IFERROR(__xludf.DUMMYFUNCTION("""COMPUTED_VALUE"""),"30-Apr")</f>
        <v/>
      </c>
      <c r="I79" s="34" t="n"/>
      <c r="J79" s="43">
        <f>IFERROR(__xludf.DUMMYFUNCTION("""COMPUTED_VALUE"""),"Harish Bhat")</f>
        <v/>
      </c>
      <c r="K79" s="34" t="n"/>
      <c r="L79" s="43">
        <f>IFERROR(__xludf.DUMMYFUNCTION("""COMPUTED_VALUE"""),"Offline")</f>
        <v/>
      </c>
      <c r="M79" s="34" t="n"/>
      <c r="N79" s="43">
        <f>IFERROR(__xludf.DUMMYFUNCTION("""COMPUTED_VALUE"""),"Mock calls")</f>
        <v/>
      </c>
      <c r="O79" s="34" t="n"/>
      <c r="P79" s="34" t="n"/>
      <c r="Q79" s="43">
        <f>IFERROR(__xludf.DUMMYFUNCTION("""COMPUTED_VALUE"""),2.0)</f>
        <v/>
      </c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>
        <f>IFERROR(__xludf.DUMMYFUNCTION("""COMPUTED_VALUE"""),"April 2026")</f>
        <v/>
      </c>
      <c r="C80" s="42">
        <f>IFERROR(__xludf.DUMMYFUNCTION("""COMPUTED_VALUE"""),"Mock Calls")</f>
        <v/>
      </c>
      <c r="D80" s="29" t="n"/>
      <c r="E80" s="42">
        <f>IFERROR(__xludf.DUMMYFUNCTION("""COMPUTED_VALUE"""),"Mock calls for SM")</f>
        <v/>
      </c>
      <c r="F80" s="29" t="n"/>
      <c r="G80" s="42">
        <f>IFERROR(__xludf.DUMMYFUNCTION("""COMPUTED_VALUE"""),"30-Apr")</f>
        <v/>
      </c>
      <c r="H80" s="42">
        <f>IFERROR(__xludf.DUMMYFUNCTION("""COMPUTED_VALUE"""),"30-Apr")</f>
        <v/>
      </c>
      <c r="I80" s="29" t="n"/>
      <c r="J80" s="42">
        <f>IFERROR(__xludf.DUMMYFUNCTION("""COMPUTED_VALUE"""),"Girish A")</f>
        <v/>
      </c>
      <c r="K80" s="29" t="n"/>
      <c r="L80" s="42">
        <f>IFERROR(__xludf.DUMMYFUNCTION("""COMPUTED_VALUE"""),"Offline")</f>
        <v/>
      </c>
      <c r="M80" s="29" t="n"/>
      <c r="N80" s="42">
        <f>IFERROR(__xludf.DUMMYFUNCTION("""COMPUTED_VALUE"""),"Mock calls")</f>
        <v/>
      </c>
      <c r="O80" s="29" t="n"/>
      <c r="P80" s="29" t="n"/>
      <c r="Q80" s="42">
        <f>IFERROR(__xludf.DUMMYFUNCTION("""COMPUTED_VALUE"""),2.0)</f>
        <v/>
      </c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>
        <f>IFERROR(__xludf.DUMMYFUNCTION("""COMPUTED_VALUE"""),"April 2026")</f>
        <v/>
      </c>
      <c r="C81" s="43">
        <f>IFERROR(__xludf.DUMMYFUNCTION("""COMPUTED_VALUE"""),"Ticket Tool Video")</f>
        <v/>
      </c>
      <c r="D81" s="34" t="n"/>
      <c r="E81" s="43">
        <f>IFERROR(__xludf.DUMMYFUNCTION("""COMPUTED_VALUE"""),"Video production")</f>
        <v/>
      </c>
      <c r="F81" s="34" t="n"/>
      <c r="G81" s="43">
        <f>IFERROR(__xludf.DUMMYFUNCTION("""COMPUTED_VALUE"""),"2-May")</f>
        <v/>
      </c>
      <c r="H81" s="43">
        <f>IFERROR(__xludf.DUMMYFUNCTION("""COMPUTED_VALUE"""),"2-May")</f>
        <v/>
      </c>
      <c r="I81" s="34" t="n"/>
      <c r="J81" s="43">
        <f>IFERROR(__xludf.DUMMYFUNCTION("""COMPUTED_VALUE"""),"Harish Bhat")</f>
        <v/>
      </c>
      <c r="K81" s="34" t="n"/>
      <c r="L81" s="43">
        <f>IFERROR(__xludf.DUMMYFUNCTION("""COMPUTED_VALUE"""),"Online")</f>
        <v/>
      </c>
      <c r="M81" s="34" t="n"/>
      <c r="N81" s="43">
        <f>IFERROR(__xludf.DUMMYFUNCTION("""COMPUTED_VALUE"""),"Ticket Tool")</f>
        <v/>
      </c>
      <c r="O81" s="34" t="n"/>
      <c r="P81" s="34" t="n"/>
      <c r="Q81" s="43">
        <f>IFERROR(__xludf.DUMMYFUNCTION("""COMPUTED_VALUE"""),3.0)</f>
        <v/>
      </c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Support Team OJT</t>
        </is>
      </c>
      <c r="B19">
        <f>IF(Dashboard!$D$6="All Months",SUMIF(Data!$B$2:$B$200,"Support Team OJT",Data!$I$2:$I$200),SUMPRODUCT((Data!$A$2:$A$200=Dashboard!$D$6)*(Data!$B$2:$B$200="Support Team OJT")*Data!$I$2:$I$200))</f>
        <v/>
      </c>
    </row>
    <row r="20" ht="15" customHeight="1" s="156">
      <c r="A20" t="inlineStr">
        <is>
          <t>Other</t>
        </is>
      </c>
      <c r="B20">
        <f>IF(Dashboard!$D$6="All Months",SUMIF(Data!$B$2:$B$200,"Other",Data!$I$2:$I$200),SUMPRODUCT((Data!$A$2:$A$200=Dashboard!$D$6)*(Data!$B$2:$B$200="Other")*Data!$I$2:$I$200))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2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8" t="inlineStr">
        <is>
          <t>TOTAL MAN HOURS THIS MONTH</t>
        </is>
      </c>
      <c r="B23" s="198" t="n"/>
      <c r="C23" s="198" t="n"/>
      <c r="D23" s="198" t="n"/>
      <c r="E23" s="198" t="n"/>
      <c r="F23" s="198" t="n"/>
      <c r="G23" s="198" t="n"/>
      <c r="H23" s="198" t="n"/>
      <c r="I23" s="199">
        <f>SUM(I7:I22)</f>
        <v/>
      </c>
    </row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23:H2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2026-06-10T18:00:56Z</dcterms:created>
  <dcterms:modified xsi:type="dcterms:W3CDTF">2026-06-10T18:00:57Z</dcterms:modified>
</cp:coreProperties>
</file>