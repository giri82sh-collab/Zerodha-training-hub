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FFDDE3E8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8" applyAlignment="1" pivotButton="0" quotePrefix="0" xfId="0">
      <alignment horizontal="left" vertical="center"/>
    </xf>
    <xf numFmtId="2" fontId="34" fillId="31" borderId="18" applyAlignment="1" pivotButton="0" quotePrefix="0" xfId="0">
      <alignment horizontal="right" vertical="center"/>
    </xf>
    <xf numFmtId="2" fontId="35" fillId="31" borderId="18" applyAlignment="1" pivotButton="0" quotePrefix="0" xfId="0">
      <alignment horizontal="right" vertical="center"/>
    </xf>
    <xf numFmtId="0" fontId="33" fillId="32" borderId="18" applyAlignment="1" pivotButton="0" quotePrefix="0" xfId="0">
      <alignment horizontal="left" vertical="center"/>
    </xf>
    <xf numFmtId="2" fontId="34" fillId="32" borderId="18" applyAlignment="1" pivotButton="0" quotePrefix="0" xfId="0">
      <alignment horizontal="right" vertical="center"/>
    </xf>
    <xf numFmtId="2" fontId="35" fillId="32" borderId="18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'CD'!$B$2:$B$6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'CD'!$C$2:$C$6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'CD'!$D$2:$D$6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'CD'!$E$2:$E$6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'CD'!$F$2:$F$6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'CD'!$A$9:$A$10</f>
            </numRef>
          </cat>
          <val>
            <numRef>
              <f>'CD'!$B$9:$B$10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'CD'!$A$13:$A$37</f>
            </numRef>
          </cat>
          <val>
            <numRef>
              <f>'CD'!$B$13:$B$37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26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26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26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79" t="n"/>
      <c r="F19" s="179">
        <f>SUMIFS(Data!$I$2:$I$200,Data!$A$2:$A$200,"December 2025",Data!$F$2:$F$200,"*Raju*")</f>
        <v/>
      </c>
      <c r="G19" s="179" t="n"/>
      <c r="H19" s="179">
        <f>SUMIFS(Data!$I$2:$I$200,Data!$A$2:$A$200,"December 2025",Data!$F$2:$F$200,"*Freeda*")</f>
        <v/>
      </c>
      <c r="I19" s="179" t="n"/>
      <c r="J19" s="179">
        <f>SUMIFS(Data!$I$2:$I$200,Data!$A$2:$A$200,"December 2025",Data!$F$2:$F$200,"*Harish*")</f>
        <v/>
      </c>
      <c r="K19" s="179" t="n"/>
      <c r="L19" s="179">
        <f>SUMIFS(Data!$I$2:$I$200,Data!$A$2:$A$200,"December 2025",Data!$F$2:$F$200,"*Girish*")</f>
        <v/>
      </c>
      <c r="M19" s="179" t="n"/>
      <c r="N19" s="180">
        <f>SUM(D19,F19,H19,J19,L19)</f>
        <v/>
      </c>
      <c r="O19" s="180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1" t="inlineStr">
        <is>
          <t>January 2026</t>
        </is>
      </c>
      <c r="C20" s="181" t="n"/>
      <c r="D20" s="182">
        <f>SUMIFS(Data!$I$2:$I$200,Data!$A$2:$A$200,"January 2026",Data!$F$2:$F$200,"*Gaurav*")</f>
        <v/>
      </c>
      <c r="E20" s="182" t="n"/>
      <c r="F20" s="182">
        <f>SUMIFS(Data!$I$2:$I$200,Data!$A$2:$A$200,"January 2026",Data!$F$2:$F$200,"*Raju*")</f>
        <v/>
      </c>
      <c r="G20" s="182" t="n"/>
      <c r="H20" s="182">
        <f>SUMIFS(Data!$I$2:$I$200,Data!$A$2:$A$200,"January 2026",Data!$F$2:$F$200,"*Freeda*")</f>
        <v/>
      </c>
      <c r="I20" s="182" t="n"/>
      <c r="J20" s="182">
        <f>SUMIFS(Data!$I$2:$I$200,Data!$A$2:$A$200,"January 2026",Data!$F$2:$F$200,"*Harish*")</f>
        <v/>
      </c>
      <c r="K20" s="182" t="n"/>
      <c r="L20" s="182">
        <f>SUMIFS(Data!$I$2:$I$200,Data!$A$2:$A$200,"January 2026",Data!$F$2:$F$200,"*Girish*")</f>
        <v/>
      </c>
      <c r="M20" s="182" t="n"/>
      <c r="N20" s="183">
        <f>SUM(D20,F20,H20,J20,L20)</f>
        <v/>
      </c>
      <c r="O20" s="183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79" t="n"/>
      <c r="F21" s="179">
        <f>SUMIFS(Data!$I$2:$I$200,Data!$A$2:$A$200,"February 2026",Data!$F$2:$F$200,"*Raju*")</f>
        <v/>
      </c>
      <c r="G21" s="179" t="n"/>
      <c r="H21" s="179">
        <f>SUMIFS(Data!$I$2:$I$200,Data!$A$2:$A$200,"February 2026",Data!$F$2:$F$200,"*Freeda*")</f>
        <v/>
      </c>
      <c r="I21" s="179" t="n"/>
      <c r="J21" s="179">
        <f>SUMIFS(Data!$I$2:$I$200,Data!$A$2:$A$200,"February 2026",Data!$F$2:$F$200,"*Harish*")</f>
        <v/>
      </c>
      <c r="K21" s="179" t="n"/>
      <c r="L21" s="179">
        <f>SUMIFS(Data!$I$2:$I$200,Data!$A$2:$A$200,"February 2026",Data!$F$2:$F$200,"*Girish*")</f>
        <v/>
      </c>
      <c r="M21" s="179" t="n"/>
      <c r="N21" s="180">
        <f>SUM(D21,F21,H21,J21,L21)</f>
        <v/>
      </c>
      <c r="O21" s="180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1" t="inlineStr">
        <is>
          <t>March 2026</t>
        </is>
      </c>
      <c r="C22" s="181" t="n"/>
      <c r="D22" s="182">
        <f>SUMIFS(Data!$I$2:$I$200,Data!$A$2:$A$200,"March 2026",Data!$F$2:$F$200,"*Gaurav*")</f>
        <v/>
      </c>
      <c r="E22" s="182" t="n"/>
      <c r="F22" s="182">
        <f>SUMIFS(Data!$I$2:$I$200,Data!$A$2:$A$200,"March 2026",Data!$F$2:$F$200,"*Raju*")</f>
        <v/>
      </c>
      <c r="G22" s="182" t="n"/>
      <c r="H22" s="182">
        <f>SUMIFS(Data!$I$2:$I$200,Data!$A$2:$A$200,"March 2026",Data!$F$2:$F$200,"*Freeda*")</f>
        <v/>
      </c>
      <c r="I22" s="182" t="n"/>
      <c r="J22" s="182">
        <f>SUMIFS(Data!$I$2:$I$200,Data!$A$2:$A$200,"March 2026",Data!$F$2:$F$200,"*Harish*")</f>
        <v/>
      </c>
      <c r="K22" s="182" t="n"/>
      <c r="L22" s="182">
        <f>SUMIFS(Data!$I$2:$I$200,Data!$A$2:$A$200,"March 2026",Data!$F$2:$F$200,"*Girish*")</f>
        <v/>
      </c>
      <c r="M22" s="182" t="n"/>
      <c r="N22" s="183">
        <f>SUM(D22,F22,H22,J22,L22)</f>
        <v/>
      </c>
      <c r="O22" s="183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79" t="n"/>
      <c r="F23" s="179">
        <f>SUMIFS(Data!$I$2:$I$200,Data!$A$2:$A$200,"April 2026",Data!$F$2:$F$200,"*Raju*")</f>
        <v/>
      </c>
      <c r="G23" s="179" t="n"/>
      <c r="H23" s="179">
        <f>SUMIFS(Data!$I$2:$I$200,Data!$A$2:$A$200,"April 2026",Data!$F$2:$F$200,"*Freeda*")</f>
        <v/>
      </c>
      <c r="I23" s="179" t="n"/>
      <c r="J23" s="179">
        <f>SUMIFS(Data!$I$2:$I$200,Data!$A$2:$A$200,"April 2026",Data!$F$2:$F$200,"*Harish*")</f>
        <v/>
      </c>
      <c r="K23" s="179" t="n"/>
      <c r="L23" s="179">
        <f>SUMIFS(Data!$I$2:$I$200,Data!$A$2:$A$200,"April 2026",Data!$F$2:$F$200,"*Girish*")</f>
        <v/>
      </c>
      <c r="M23" s="179" t="n"/>
      <c r="N23" s="180">
        <f>SUM(D23,F23,H23,J23,L23)</f>
        <v/>
      </c>
      <c r="O23" s="180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38" t="n"/>
      <c r="B25" s="177" t="inlineStr">
        <is>
          <t>TRAINING ANALYTICS</t>
        </is>
      </c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184" t="inlineStr">
        <is>
          <t>Monthly Hours by Trainer</t>
        </is>
      </c>
      <c r="G26" s="184" t="inlineStr">
        <is>
          <t>Online vs Offline</t>
        </is>
      </c>
      <c r="K26" s="184" t="inlineStr">
        <is>
          <t>Hours by Activity Type</t>
        </is>
      </c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40" t="n"/>
      <c r="B59" s="177" t="inlineStr">
        <is>
          <t>COMPLETE ACTIVITY LOG  —  Filters with dropdown above</t>
        </is>
      </c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30" t="inlineStr">
        <is>
          <t>Month</t>
        </is>
      </c>
      <c r="C60" s="30" t="inlineStr">
        <is>
          <t>Type of Training</t>
        </is>
      </c>
      <c r="D60" s="29" t="n"/>
      <c r="E60" s="30" t="inlineStr">
        <is>
          <t>Training Details</t>
        </is>
      </c>
      <c r="F60" s="29" t="n"/>
      <c r="G60" s="30" t="inlineStr">
        <is>
          <t>Start Date</t>
        </is>
      </c>
      <c r="H60" s="30" t="inlineStr">
        <is>
          <t>Completed</t>
        </is>
      </c>
      <c r="I60" s="29" t="n"/>
      <c r="J60" s="30" t="inlineStr">
        <is>
          <t>Trainer Name</t>
        </is>
      </c>
      <c r="K60" s="29" t="n"/>
      <c r="L60" s="30" t="inlineStr">
        <is>
          <t>Session</t>
        </is>
      </c>
      <c r="M60" s="29" t="n"/>
      <c r="N60" s="30" t="inlineStr">
        <is>
          <t>Topic Covered</t>
        </is>
      </c>
      <c r="O60" s="29" t="n"/>
      <c r="P60" s="29" t="n"/>
      <c r="Q60" s="30" t="inlineStr">
        <is>
          <t>Man Hours</t>
        </is>
      </c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34" t="n"/>
      <c r="B61" s="41">
        <f>IFERROR(__xludf.DUMMYFUNCTION("IFERROR(filter(Data!$A$2:$A$200,((Data!$A$2:$A$200=$D$6)+($D$6=""All Months""))*(Data!$A$2:$A$200&lt;&gt;"""")),"""")"),"April 2026")</f>
        <v/>
      </c>
      <c r="C61" s="41">
        <f>IFERROR(__xludf.DUMMYFUNCTION("IFERROR(filter(Data!$B$2:$B$200,((Data!$A$2:$A$200=$D$6)+($D$6=""All Months""))*(Data!$A$2:$A$200&lt;&gt;"""")),"""")"),"Support Training")</f>
        <v/>
      </c>
      <c r="D61" s="34" t="n"/>
      <c r="E61" s="41">
        <f>IFERROR(__xludf.DUMMYFUNCTION("IFERROR(filter(Data!$C$2:$C$200,((Data!$A$2:$A$200=$D$6)+($D$6=""All Months""))*(Data!$A$2:$A$200&lt;&gt;"""")),"""")"),"Batch 2 - C360 Training")</f>
        <v/>
      </c>
      <c r="F61" s="34" t="n"/>
      <c r="G61" s="41">
        <f>IFERROR(__xludf.DUMMYFUNCTION("IFERROR(filter(Data!$D$2:$D$200,((Data!$A$2:$A$200=$D$6)+($D$6=""All Months""))*(Data!$A$2:$A$200&lt;&gt;"""")),"""")"),"7-Apr")</f>
        <v/>
      </c>
      <c r="H61" s="41">
        <f>IFERROR(__xludf.DUMMYFUNCTION("IFERROR(filter(Data!$E$2:$E$200,((Data!$A$2:$A$200=$D$6)+($D$6=""All Months""))*(Data!$A$2:$A$200&lt;&gt;"""")),"""")"),"10-Apr")</f>
        <v/>
      </c>
      <c r="I61" s="34" t="n"/>
      <c r="J61" s="41">
        <f>IFERROR(__xludf.DUMMYFUNCTION("IFERROR(filter(Data!$F$2:$F$200,((Data!$A$2:$A$200=$D$6)+($D$6=""All Months""))*(Data!$A$2:$A$200&lt;&gt;"""")),"""")"),"Freeda Reshma Dsouza")</f>
        <v/>
      </c>
      <c r="K61" s="34" t="n"/>
      <c r="L61" s="41">
        <f>IFERROR(__xludf.DUMMYFUNCTION("IFERROR(filter(Data!$G$2:$G$200,((Data!$A$2:$A$200=$D$6)+($D$6=""All Months""))*(Data!$A$2:$A$200&lt;&gt;"""")),"""")"),"Offline")</f>
        <v/>
      </c>
      <c r="M61" s="34" t="n"/>
      <c r="N61" s="41">
        <f>IFERROR(__xludf.DUMMYFUNCTION("IFERROR(filter(Data!$H$2:$H$200,((Data!$A$2:$A$200=$D$6)+($D$6=""All Months""))*(Data!$A$2:$A$200&lt;&gt;"""")),"""")"),"Assessment - Communicate 360")</f>
        <v/>
      </c>
      <c r="O61" s="34" t="n"/>
      <c r="P61" s="34" t="n"/>
      <c r="Q61" s="41">
        <f>IFERROR(__xludf.DUMMYFUNCTION("IFERROR(filter(Data!$I$2:$I$200,((Data!$A$2:$A$200=$D$6)+($D$6=""All Months""))*(Data!$A$2:$A$200&lt;&gt;"""")),"""")"),20.0)</f>
        <v/>
      </c>
      <c r="R61" s="34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42">
        <f>IFERROR(__xludf.DUMMYFUNCTION("""COMPUTED_VALUE"""),"April 2026")</f>
        <v/>
      </c>
      <c r="C62" s="42">
        <f>IFERROR(__xludf.DUMMYFUNCTION("""COMPUTED_VALUE"""),"Support Training")</f>
        <v/>
      </c>
      <c r="D62" s="29" t="n"/>
      <c r="E62" s="42">
        <f>IFERROR(__xludf.DUMMYFUNCTION("""COMPUTED_VALUE"""),"Batch 3 - C360 Training")</f>
        <v/>
      </c>
      <c r="F62" s="29" t="n"/>
      <c r="G62" s="42">
        <f>IFERROR(__xludf.DUMMYFUNCTION("""COMPUTED_VALUE"""),"21-Apr")</f>
        <v/>
      </c>
      <c r="H62" s="42">
        <f>IFERROR(__xludf.DUMMYFUNCTION("""COMPUTED_VALUE"""),"24-Apr")</f>
        <v/>
      </c>
      <c r="I62" s="29" t="n"/>
      <c r="J62" s="42">
        <f>IFERROR(__xludf.DUMMYFUNCTION("""COMPUTED_VALUE"""),"Freeda Reshma Dsouza")</f>
        <v/>
      </c>
      <c r="K62" s="29" t="n"/>
      <c r="L62" s="42">
        <f>IFERROR(__xludf.DUMMYFUNCTION("""COMPUTED_VALUE"""),"Offline")</f>
        <v/>
      </c>
      <c r="M62" s="29" t="n"/>
      <c r="N62" s="42">
        <f>IFERROR(__xludf.DUMMYFUNCTION("""COMPUTED_VALUE"""),"Assessment - Communicate 360")</f>
        <v/>
      </c>
      <c r="O62" s="29" t="n"/>
      <c r="P62" s="29" t="n"/>
      <c r="Q62" s="42">
        <f>IFERROR(__xludf.DUMMYFUNCTION("""COMPUTED_VALUE"""),20.0)</f>
        <v/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3">
        <f>IFERROR(__xludf.DUMMYFUNCTION("""COMPUTED_VALUE"""),"April 2026")</f>
        <v/>
      </c>
      <c r="C63" s="43">
        <f>IFERROR(__xludf.DUMMYFUNCTION("""COMPUTED_VALUE"""),"Support Training")</f>
        <v/>
      </c>
      <c r="D63" s="34" t="n"/>
      <c r="E63" s="43">
        <f>IFERROR(__xludf.DUMMYFUNCTION("""COMPUTED_VALUE"""),"Batch 2 - C360 Training (Girish)")</f>
        <v/>
      </c>
      <c r="F63" s="34" t="n"/>
      <c r="G63" s="43">
        <f>IFERROR(__xludf.DUMMYFUNCTION("""COMPUTED_VALUE"""),"21-Apr")</f>
        <v/>
      </c>
      <c r="H63" s="43">
        <f>IFERROR(__xludf.DUMMYFUNCTION("""COMPUTED_VALUE"""),"24-Apr")</f>
        <v/>
      </c>
      <c r="I63" s="34" t="n"/>
      <c r="J63" s="43">
        <f>IFERROR(__xludf.DUMMYFUNCTION("""COMPUTED_VALUE"""),"Girish A")</f>
        <v/>
      </c>
      <c r="K63" s="34" t="n"/>
      <c r="L63" s="43">
        <f>IFERROR(__xludf.DUMMYFUNCTION("""COMPUTED_VALUE"""),"Offline")</f>
        <v/>
      </c>
      <c r="M63" s="34" t="n"/>
      <c r="N63" s="43">
        <f>IFERROR(__xludf.DUMMYFUNCTION("""COMPUTED_VALUE"""),"Assessment - Communicate 360")</f>
        <v/>
      </c>
      <c r="O63" s="34" t="n"/>
      <c r="P63" s="34" t="n"/>
      <c r="Q63" s="43">
        <f>IFERROR(__xludf.DUMMYFUNCTION("""COMPUTED_VALUE"""),9.0)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>
        <f>IFERROR(__xludf.DUMMYFUNCTION("""COMPUTED_VALUE"""),"April 2026")</f>
        <v/>
      </c>
      <c r="C64" s="42">
        <f>IFERROR(__xludf.DUMMYFUNCTION("""COMPUTED_VALUE"""),"Support Training")</f>
        <v/>
      </c>
      <c r="D64" s="29" t="n"/>
      <c r="E64" s="42">
        <f>IFERROR(__xludf.DUMMYFUNCTION("""COMPUTED_VALUE"""),"Batch - C360 Training (Harish)")</f>
        <v/>
      </c>
      <c r="F64" s="29" t="n"/>
      <c r="G64" s="42">
        <f>IFERROR(__xludf.DUMMYFUNCTION("""COMPUTED_VALUE"""),"21-Apr")</f>
        <v/>
      </c>
      <c r="H64" s="42">
        <f>IFERROR(__xludf.DUMMYFUNCTION("""COMPUTED_VALUE"""),"24-Apr")</f>
        <v/>
      </c>
      <c r="I64" s="29" t="n"/>
      <c r="J64" s="42">
        <f>IFERROR(__xludf.DUMMYFUNCTION("""COMPUTED_VALUE"""),"Harish Bhat")</f>
        <v/>
      </c>
      <c r="K64" s="29" t="n"/>
      <c r="L64" s="42">
        <f>IFERROR(__xludf.DUMMYFUNCTION("""COMPUTED_VALUE"""),"Offline")</f>
        <v/>
      </c>
      <c r="M64" s="29" t="n"/>
      <c r="N64" s="42">
        <f>IFERROR(__xludf.DUMMYFUNCTION("""COMPUTED_VALUE"""),"Assessment - Communicate 360")</f>
        <v/>
      </c>
      <c r="O64" s="29" t="n"/>
      <c r="P64" s="29" t="n"/>
      <c r="Q64" s="42">
        <f>IFERROR(__xludf.DUMMYFUNCTION("""COMPUTED_VALUE"""),9.0)</f>
        <v/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>
        <f>IFERROR(__xludf.DUMMYFUNCTION("""COMPUTED_VALUE"""),"April 2026")</f>
        <v/>
      </c>
      <c r="C65" s="43">
        <f>IFERROR(__xludf.DUMMYFUNCTION("""COMPUTED_VALUE"""),"Support Training")</f>
        <v/>
      </c>
      <c r="D65" s="34" t="n"/>
      <c r="E65" s="43">
        <f>IFERROR(__xludf.DUMMYFUNCTION("""COMPUTED_VALUE"""),"Tool Building - C360 Modifications")</f>
        <v/>
      </c>
      <c r="F65" s="34" t="n"/>
      <c r="G65" s="43">
        <f>IFERROR(__xludf.DUMMYFUNCTION("""COMPUTED_VALUE"""),"13-Apr")</f>
        <v/>
      </c>
      <c r="H65" s="43">
        <f>IFERROR(__xludf.DUMMYFUNCTION("""COMPUTED_VALUE"""),"30-Apr")</f>
        <v/>
      </c>
      <c r="I65" s="34" t="n"/>
      <c r="J65" s="43">
        <f>IFERROR(__xludf.DUMMYFUNCTION("""COMPUTED_VALUE"""),"Raju Vernekar / Girish A / Harish Bhat")</f>
        <v/>
      </c>
      <c r="K65" s="34" t="n"/>
      <c r="L65" s="43">
        <f>IFERROR(__xludf.DUMMYFUNCTION("""COMPUTED_VALUE"""),"Offline")</f>
        <v/>
      </c>
      <c r="M65" s="34" t="n"/>
      <c r="N65" s="43">
        <f>IFERROR(__xludf.DUMMYFUNCTION("""COMPUTED_VALUE"""),"Tool Building - C360 Modifications")</f>
        <v/>
      </c>
      <c r="O65" s="34" t="n"/>
      <c r="P65" s="34" t="n"/>
      <c r="Q65" s="43">
        <f>IFERROR(__xludf.DUMMYFUNCTION("""COMPUTED_VALUE"""),15.0)</f>
        <v/>
      </c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>
        <f>IFERROR(__xludf.DUMMYFUNCTION("""COMPUTED_VALUE"""),"April 2026")</f>
        <v/>
      </c>
      <c r="C66" s="42">
        <f>IFERROR(__xludf.DUMMYFUNCTION("""COMPUTED_VALUE"""),"Assessment")</f>
        <v/>
      </c>
      <c r="D66" s="29" t="n"/>
      <c r="E66" s="42">
        <f>IFERROR(__xludf.DUMMYFUNCTION("""COMPUTED_VALUE"""),"Batch 1 - Correction C360")</f>
        <v/>
      </c>
      <c r="F66" s="29" t="n"/>
      <c r="G66" s="42">
        <f>IFERROR(__xludf.DUMMYFUNCTION("""COMPUTED_VALUE"""),"11-Apr")</f>
        <v/>
      </c>
      <c r="H66" s="42">
        <f>IFERROR(__xludf.DUMMYFUNCTION("""COMPUTED_VALUE"""),"15-Apr")</f>
        <v/>
      </c>
      <c r="I66" s="29" t="n"/>
      <c r="J66" s="42">
        <f>IFERROR(__xludf.DUMMYFUNCTION("""COMPUTED_VALUE"""),"Freeda Reshma Dsouza / Girish A / Harish Bhat")</f>
        <v/>
      </c>
      <c r="K66" s="29" t="n"/>
      <c r="L66" s="42">
        <f>IFERROR(__xludf.DUMMYFUNCTION("""COMPUTED_VALUE"""),"Offline")</f>
        <v/>
      </c>
      <c r="M66" s="29" t="n"/>
      <c r="N66" s="42">
        <f>IFERROR(__xludf.DUMMYFUNCTION("""COMPUTED_VALUE"""),"Correction of Assessment - C360")</f>
        <v/>
      </c>
      <c r="O66" s="29" t="n"/>
      <c r="P66" s="29" t="n"/>
      <c r="Q66" s="42">
        <f>IFERROR(__xludf.DUMMYFUNCTION("""COMPUTED_VALUE"""),30.0)</f>
        <v/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>
        <f>IFERROR(__xludf.DUMMYFUNCTION("""COMPUTED_VALUE"""),"April 2026")</f>
        <v/>
      </c>
      <c r="C67" s="43">
        <f>IFERROR(__xludf.DUMMYFUNCTION("""COMPUTED_VALUE"""),"Assessment")</f>
        <v/>
      </c>
      <c r="D67" s="34" t="n"/>
      <c r="E67" s="43">
        <f>IFERROR(__xludf.DUMMYFUNCTION("""COMPUTED_VALUE"""),"Batch 2 - Correction C360")</f>
        <v/>
      </c>
      <c r="F67" s="34" t="n"/>
      <c r="G67" s="43">
        <f>IFERROR(__xludf.DUMMYFUNCTION("""COMPUTED_VALUE"""),"27-Apr")</f>
        <v/>
      </c>
      <c r="H67" s="43">
        <f>IFERROR(__xludf.DUMMYFUNCTION("""COMPUTED_VALUE"""),"30-Apr")</f>
        <v/>
      </c>
      <c r="I67" s="34" t="n"/>
      <c r="J67" s="43">
        <f>IFERROR(__xludf.DUMMYFUNCTION("""COMPUTED_VALUE"""),"Girish A / Harish Bhat")</f>
        <v/>
      </c>
      <c r="K67" s="34" t="n"/>
      <c r="L67" s="43">
        <f>IFERROR(__xludf.DUMMYFUNCTION("""COMPUTED_VALUE"""),"Offline")</f>
        <v/>
      </c>
      <c r="M67" s="34" t="n"/>
      <c r="N67" s="43">
        <f>IFERROR(__xludf.DUMMYFUNCTION("""COMPUTED_VALUE"""),"Correction of Assessment - C360")</f>
        <v/>
      </c>
      <c r="O67" s="34" t="n"/>
      <c r="P67" s="34" t="n"/>
      <c r="Q67" s="43">
        <f>IFERROR(__xludf.DUMMYFUNCTION("""COMPUTED_VALUE"""),15.0)</f>
        <v/>
      </c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>
        <f>IFERROR(__xludf.DUMMYFUNCTION("""COMPUTED_VALUE"""),"April 2026")</f>
        <v/>
      </c>
      <c r="C68" s="42">
        <f>IFERROR(__xludf.DUMMYFUNCTION("""COMPUTED_VALUE"""),"Support Training")</f>
        <v/>
      </c>
      <c r="D68" s="29" t="n"/>
      <c r="E68" s="42">
        <f>IFERROR(__xludf.DUMMYFUNCTION("""COMPUTED_VALUE"""),"Batch 1&amp;2 Report Generation - C360")</f>
        <v/>
      </c>
      <c r="F68" s="29" t="n"/>
      <c r="G68" s="42">
        <f>IFERROR(__xludf.DUMMYFUNCTION("""COMPUTED_VALUE"""),"21-Apr")</f>
        <v/>
      </c>
      <c r="H68" s="42">
        <f>IFERROR(__xludf.DUMMYFUNCTION("""COMPUTED_VALUE"""),"21-Apr")</f>
        <v/>
      </c>
      <c r="I68" s="29" t="n"/>
      <c r="J68" s="42">
        <f>IFERROR(__xludf.DUMMYFUNCTION("""COMPUTED_VALUE"""),"Harish Bhat")</f>
        <v/>
      </c>
      <c r="K68" s="29" t="n"/>
      <c r="L68" s="42">
        <f>IFERROR(__xludf.DUMMYFUNCTION("""COMPUTED_VALUE"""),"Offline")</f>
        <v/>
      </c>
      <c r="M68" s="29" t="n"/>
      <c r="N68" s="42">
        <f>IFERROR(__xludf.DUMMYFUNCTION("""COMPUTED_VALUE"""),"Report Generation - C360")</f>
        <v/>
      </c>
      <c r="O68" s="29" t="n"/>
      <c r="P68" s="29" t="n"/>
      <c r="Q68" s="42">
        <f>IFERROR(__xludf.DUMMYFUNCTION("""COMPUTED_VALUE"""),8.0)</f>
        <v/>
      </c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>
        <f>IFERROR(__xludf.DUMMYFUNCTION("""COMPUTED_VALUE"""),"April 2026")</f>
        <v/>
      </c>
      <c r="C69" s="43">
        <f>IFERROR(__xludf.DUMMYFUNCTION("""COMPUTED_VALUE"""),"Accop Training")</f>
        <v/>
      </c>
      <c r="D69" s="34" t="n"/>
      <c r="E69" s="43">
        <f>IFERROR(__xludf.DUMMYFUNCTION("""COMPUTED_VALUE"""),"Session on AML &amp; Stock tips")</f>
        <v/>
      </c>
      <c r="F69" s="34" t="n"/>
      <c r="G69" s="43">
        <f>IFERROR(__xludf.DUMMYFUNCTION("""COMPUTED_VALUE"""),"23-Apr")</f>
        <v/>
      </c>
      <c r="H69" s="43">
        <f>IFERROR(__xludf.DUMMYFUNCTION("""COMPUTED_VALUE"""),"23-Apr")</f>
        <v/>
      </c>
      <c r="I69" s="34" t="n"/>
      <c r="J69" s="43">
        <f>IFERROR(__xludf.DUMMYFUNCTION("""COMPUTED_VALUE"""),"Girish A")</f>
        <v/>
      </c>
      <c r="K69" s="34" t="n"/>
      <c r="L69" s="43">
        <f>IFERROR(__xludf.DUMMYFUNCTION("""COMPUTED_VALUE"""),"Online")</f>
        <v/>
      </c>
      <c r="M69" s="34" t="n"/>
      <c r="N69" s="43">
        <f>IFERROR(__xludf.DUMMYFUNCTION("""COMPUTED_VALUE"""),"AML &amp; Stock tips")</f>
        <v/>
      </c>
      <c r="O69" s="34" t="n"/>
      <c r="P69" s="34" t="n"/>
      <c r="Q69" s="43">
        <f>IFERROR(__xludf.DUMMYFUNCTION("""COMPUTED_VALUE"""),1.75)</f>
        <v/>
      </c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>
        <f>IFERROR(__xludf.DUMMYFUNCTION("""COMPUTED_VALUE"""),"April 2026")</f>
        <v/>
      </c>
      <c r="C70" s="42">
        <f>IFERROR(__xludf.DUMMYFUNCTION("""COMPUTED_VALUE"""),"NRI Team Training")</f>
        <v/>
      </c>
      <c r="D70" s="29" t="n"/>
      <c r="E70" s="42">
        <f>IFERROR(__xludf.DUMMYFUNCTION("""COMPUTED_VALUE"""),"Session on AML &amp; Stock tips")</f>
        <v/>
      </c>
      <c r="F70" s="29" t="n"/>
      <c r="G70" s="42">
        <f>IFERROR(__xludf.DUMMYFUNCTION("""COMPUTED_VALUE"""),"27-Apr")</f>
        <v/>
      </c>
      <c r="H70" s="42">
        <f>IFERROR(__xludf.DUMMYFUNCTION("""COMPUTED_VALUE"""),"27-Apr")</f>
        <v/>
      </c>
      <c r="I70" s="29" t="n"/>
      <c r="J70" s="42">
        <f>IFERROR(__xludf.DUMMYFUNCTION("""COMPUTED_VALUE"""),"Harish Bhat")</f>
        <v/>
      </c>
      <c r="K70" s="29" t="n"/>
      <c r="L70" s="42">
        <f>IFERROR(__xludf.DUMMYFUNCTION("""COMPUTED_VALUE"""),"Online")</f>
        <v/>
      </c>
      <c r="M70" s="29" t="n"/>
      <c r="N70" s="42">
        <f>IFERROR(__xludf.DUMMYFUNCTION("""COMPUTED_VALUE"""),"AML &amp; Stock tips")</f>
        <v/>
      </c>
      <c r="O70" s="29" t="n"/>
      <c r="P70" s="29" t="n"/>
      <c r="Q70" s="42">
        <f>IFERROR(__xludf.DUMMYFUNCTION("""COMPUTED_VALUE"""),1.75)</f>
        <v/>
      </c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>
        <f>IFERROR(__xludf.DUMMYFUNCTION("""COMPUTED_VALUE"""),"April 2026")</f>
        <v/>
      </c>
      <c r="C71" s="43">
        <f>IFERROR(__xludf.DUMMYFUNCTION("""COMPUTED_VALUE"""),"Fresh Hires Training")</f>
        <v/>
      </c>
      <c r="D71" s="34" t="n"/>
      <c r="E71" s="43">
        <f>IFERROR(__xludf.DUMMYFUNCTION("""COMPUTED_VALUE"""),"Session on AML &amp; Stock tips")</f>
        <v/>
      </c>
      <c r="F71" s="34" t="n"/>
      <c r="G71" s="43">
        <f>IFERROR(__xludf.DUMMYFUNCTION("""COMPUTED_VALUE"""),"29-Apr")</f>
        <v/>
      </c>
      <c r="H71" s="43">
        <f>IFERROR(__xludf.DUMMYFUNCTION("""COMPUTED_VALUE"""),"29-Apr")</f>
        <v/>
      </c>
      <c r="I71" s="34" t="n"/>
      <c r="J71" s="43">
        <f>IFERROR(__xludf.DUMMYFUNCTION("""COMPUTED_VALUE"""),"Girish A")</f>
        <v/>
      </c>
      <c r="K71" s="34" t="n"/>
      <c r="L71" s="43">
        <f>IFERROR(__xludf.DUMMYFUNCTION("""COMPUTED_VALUE"""),"Online")</f>
        <v/>
      </c>
      <c r="M71" s="34" t="n"/>
      <c r="N71" s="43">
        <f>IFERROR(__xludf.DUMMYFUNCTION("""COMPUTED_VALUE"""),"AML &amp; Stock tips")</f>
        <v/>
      </c>
      <c r="O71" s="34" t="n"/>
      <c r="P71" s="34" t="n"/>
      <c r="Q71" s="43">
        <f>IFERROR(__xludf.DUMMYFUNCTION("""COMPUTED_VALUE"""),0.75)</f>
        <v/>
      </c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>
        <f>IFERROR(__xludf.DUMMYFUNCTION("""COMPUTED_VALUE"""),"April 2026")</f>
        <v/>
      </c>
      <c r="C72" s="42">
        <f>IFERROR(__xludf.DUMMYFUNCTION("""COMPUTED_VALUE"""),"Training Need Analysis")</f>
        <v/>
      </c>
      <c r="D72" s="29" t="n"/>
      <c r="E72" s="42">
        <f>IFERROR(__xludf.DUMMYFUNCTION("""COMPUTED_VALUE"""),"Understanding requirements from CS")</f>
        <v/>
      </c>
      <c r="F72" s="29" t="n"/>
      <c r="G72" s="42">
        <f>IFERROR(__xludf.DUMMYFUNCTION("""COMPUTED_VALUE"""),"16-Apr")</f>
        <v/>
      </c>
      <c r="H72" s="42">
        <f>IFERROR(__xludf.DUMMYFUNCTION("""COMPUTED_VALUE"""),"16-Apr")</f>
        <v/>
      </c>
      <c r="I72" s="29" t="n"/>
      <c r="J72" s="42">
        <f>IFERROR(__xludf.DUMMYFUNCTION("""COMPUTED_VALUE"""),"Freeda Reshma Dsouza")</f>
        <v/>
      </c>
      <c r="K72" s="29" t="n"/>
      <c r="L72" s="42">
        <f>IFERROR(__xludf.DUMMYFUNCTION("""COMPUTED_VALUE"""),"Online")</f>
        <v/>
      </c>
      <c r="M72" s="29" t="n"/>
      <c r="N72" s="42">
        <f>IFERROR(__xludf.DUMMYFUNCTION("""COMPUTED_VALUE"""),"Training Need Analysis")</f>
        <v/>
      </c>
      <c r="O72" s="29" t="n"/>
      <c r="P72" s="29" t="n"/>
      <c r="Q72" s="42">
        <f>IFERROR(__xludf.DUMMYFUNCTION("""COMPUTED_VALUE"""),1.0)</f>
        <v/>
      </c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>
        <f>IFERROR(__xludf.DUMMYFUNCTION("""COMPUTED_VALUE"""),"April 2026")</f>
        <v/>
      </c>
      <c r="C73" s="43">
        <f>IFERROR(__xludf.DUMMYFUNCTION("""COMPUTED_VALUE"""),"Self Assessment Form")</f>
        <v/>
      </c>
      <c r="D73" s="34" t="n"/>
      <c r="E73" s="43">
        <f>IFERROR(__xludf.DUMMYFUNCTION("""COMPUTED_VALUE"""),"Building self assessment for CS")</f>
        <v/>
      </c>
      <c r="F73" s="34" t="n"/>
      <c r="G73" s="43">
        <f>IFERROR(__xludf.DUMMYFUNCTION("""COMPUTED_VALUE"""),"17-Apr")</f>
        <v/>
      </c>
      <c r="H73" s="43">
        <f>IFERROR(__xludf.DUMMYFUNCTION("""COMPUTED_VALUE"""),"17-Apr")</f>
        <v/>
      </c>
      <c r="I73" s="34" t="n"/>
      <c r="J73" s="43">
        <f>IFERROR(__xludf.DUMMYFUNCTION("""COMPUTED_VALUE"""),"Freeda Reshma Dsouza")</f>
        <v/>
      </c>
      <c r="K73" s="34" t="n"/>
      <c r="L73" s="43">
        <f>IFERROR(__xludf.DUMMYFUNCTION("""COMPUTED_VALUE"""),"Online")</f>
        <v/>
      </c>
      <c r="M73" s="34" t="n"/>
      <c r="N73" s="43">
        <f>IFERROR(__xludf.DUMMYFUNCTION("""COMPUTED_VALUE"""),"Self Assessment")</f>
        <v/>
      </c>
      <c r="O73" s="34" t="n"/>
      <c r="P73" s="34" t="n"/>
      <c r="Q73" s="43">
        <f>IFERROR(__xludf.DUMMYFUNCTION("""COMPUTED_VALUE"""),0.5)</f>
        <v/>
      </c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>
        <f>IFERROR(__xludf.DUMMYFUNCTION("""COMPUTED_VALUE"""),"April 2026")</f>
        <v/>
      </c>
      <c r="C74" s="42">
        <f>IFERROR(__xludf.DUMMYFUNCTION("""COMPUTED_VALUE"""),"Varsity Scripts Writing")</f>
        <v/>
      </c>
      <c r="D74" s="29" t="n"/>
      <c r="E74" s="42">
        <f>IFERROR(__xludf.DUMMYFUNCTION("""COMPUTED_VALUE"""),"Script preparation")</f>
        <v/>
      </c>
      <c r="F74" s="29" t="n"/>
      <c r="G74" s="42">
        <f>IFERROR(__xludf.DUMMYFUNCTION("""COMPUTED_VALUE"""),"-")</f>
        <v/>
      </c>
      <c r="H74" s="42">
        <f>IFERROR(__xludf.DUMMYFUNCTION("""COMPUTED_VALUE"""),"-")</f>
        <v/>
      </c>
      <c r="I74" s="29" t="n"/>
      <c r="J74" s="42">
        <f>IFERROR(__xludf.DUMMYFUNCTION("""COMPUTED_VALUE"""),"Harish Bhat")</f>
        <v/>
      </c>
      <c r="K74" s="29" t="n"/>
      <c r="L74" s="42">
        <f>IFERROR(__xludf.DUMMYFUNCTION("""COMPUTED_VALUE"""),"Offline")</f>
        <v/>
      </c>
      <c r="M74" s="29" t="n"/>
      <c r="N74" s="42">
        <f>IFERROR(__xludf.DUMMYFUNCTION("""COMPUTED_VALUE"""),"Varsity Scripts")</f>
        <v/>
      </c>
      <c r="O74" s="29" t="n"/>
      <c r="P74" s="29" t="n"/>
      <c r="Q74" s="42">
        <f>IFERROR(__xludf.DUMMYFUNCTION("""COMPUTED_VALUE"""),2.0)</f>
        <v/>
      </c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>
        <f>IFERROR(__xludf.DUMMYFUNCTION("""COMPUTED_VALUE"""),"April 2026")</f>
        <v/>
      </c>
      <c r="C75" s="43">
        <f>IFERROR(__xludf.DUMMYFUNCTION("""COMPUTED_VALUE"""),"Varsity Video Shoot")</f>
        <v/>
      </c>
      <c r="D75" s="34" t="n"/>
      <c r="E75" s="43">
        <f>IFERROR(__xludf.DUMMYFUNCTION("""COMPUTED_VALUE"""),"Video recording")</f>
        <v/>
      </c>
      <c r="F75" s="34" t="n"/>
      <c r="G75" s="43">
        <f>IFERROR(__xludf.DUMMYFUNCTION("""COMPUTED_VALUE"""),"-")</f>
        <v/>
      </c>
      <c r="H75" s="43">
        <f>IFERROR(__xludf.DUMMYFUNCTION("""COMPUTED_VALUE"""),"-")</f>
        <v/>
      </c>
      <c r="I75" s="34" t="n"/>
      <c r="J75" s="43">
        <f>IFERROR(__xludf.DUMMYFUNCTION("""COMPUTED_VALUE"""),"Harish Bhat")</f>
        <v/>
      </c>
      <c r="K75" s="34" t="n"/>
      <c r="L75" s="43">
        <f>IFERROR(__xludf.DUMMYFUNCTION("""COMPUTED_VALUE"""),"Offline")</f>
        <v/>
      </c>
      <c r="M75" s="34" t="n"/>
      <c r="N75" s="43">
        <f>IFERROR(__xludf.DUMMYFUNCTION("""COMPUTED_VALUE"""),"Varsity Videos")</f>
        <v/>
      </c>
      <c r="O75" s="34" t="n"/>
      <c r="P75" s="34" t="n"/>
      <c r="Q75" s="43">
        <f>IFERROR(__xludf.DUMMYFUNCTION("""COMPUTED_VALUE"""),2.0)</f>
        <v/>
      </c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>
        <f>IFERROR(__xludf.DUMMYFUNCTION("""COMPUTED_VALUE"""),"April 2026")</f>
        <v/>
      </c>
      <c r="C76" s="42">
        <f>IFERROR(__xludf.DUMMYFUNCTION("""COMPUTED_VALUE"""),"Varsity Backend Support")</f>
        <v/>
      </c>
      <c r="D76" s="29" t="n"/>
      <c r="E76" s="42">
        <f>IFERROR(__xludf.DUMMYFUNCTION("""COMPUTED_VALUE"""),"Tickets, exam schedule, Rupee Tales")</f>
        <v/>
      </c>
      <c r="F76" s="29" t="n"/>
      <c r="G76" s="42">
        <f>IFERROR(__xludf.DUMMYFUNCTION("""COMPUTED_VALUE"""),"-")</f>
        <v/>
      </c>
      <c r="H76" s="42">
        <f>IFERROR(__xludf.DUMMYFUNCTION("""COMPUTED_VALUE"""),"-")</f>
        <v/>
      </c>
      <c r="I76" s="29" t="n"/>
      <c r="J76" s="42">
        <f>IFERROR(__xludf.DUMMYFUNCTION("""COMPUTED_VALUE"""),"Harish Bhat")</f>
        <v/>
      </c>
      <c r="K76" s="29" t="n"/>
      <c r="L76" s="42">
        <f>IFERROR(__xludf.DUMMYFUNCTION("""COMPUTED_VALUE"""),"Offline")</f>
        <v/>
      </c>
      <c r="M76" s="29" t="n"/>
      <c r="N76" s="42">
        <f>IFERROR(__xludf.DUMMYFUNCTION("""COMPUTED_VALUE"""),"Varsity Backend")</f>
        <v/>
      </c>
      <c r="O76" s="29" t="n"/>
      <c r="P76" s="29" t="n"/>
      <c r="Q76" s="42">
        <f>IFERROR(__xludf.DUMMYFUNCTION("""COMPUTED_VALUE"""),15.0)</f>
        <v/>
      </c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>
        <f>IFERROR(__xludf.DUMMYFUNCTION("""COMPUTED_VALUE"""),"April 2026")</f>
        <v/>
      </c>
      <c r="C77" s="43">
        <f>IFERROR(__xludf.DUMMYFUNCTION("""COMPUTED_VALUE"""),"Mock Calls")</f>
        <v/>
      </c>
      <c r="D77" s="34" t="n"/>
      <c r="E77" s="43">
        <f>IFERROR(__xludf.DUMMYFUNCTION("""COMPUTED_VALUE"""),"Mock calls for SM")</f>
        <v/>
      </c>
      <c r="F77" s="34" t="n"/>
      <c r="G77" s="43">
        <f>IFERROR(__xludf.DUMMYFUNCTION("""COMPUTED_VALUE"""),"30-Apr")</f>
        <v/>
      </c>
      <c r="H77" s="43">
        <f>IFERROR(__xludf.DUMMYFUNCTION("""COMPUTED_VALUE"""),"30-Apr")</f>
        <v/>
      </c>
      <c r="I77" s="34" t="n"/>
      <c r="J77" s="43">
        <f>IFERROR(__xludf.DUMMYFUNCTION("""COMPUTED_VALUE"""),"Harish Bhat")</f>
        <v/>
      </c>
      <c r="K77" s="34" t="n"/>
      <c r="L77" s="43">
        <f>IFERROR(__xludf.DUMMYFUNCTION("""COMPUTED_VALUE"""),"Offline")</f>
        <v/>
      </c>
      <c r="M77" s="34" t="n"/>
      <c r="N77" s="43">
        <f>IFERROR(__xludf.DUMMYFUNCTION("""COMPUTED_VALUE"""),"Mock calls")</f>
        <v/>
      </c>
      <c r="O77" s="34" t="n"/>
      <c r="P77" s="34" t="n"/>
      <c r="Q77" s="43">
        <f>IFERROR(__xludf.DUMMYFUNCTION("""COMPUTED_VALUE"""),2.0)</f>
        <v/>
      </c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>
        <f>IFERROR(__xludf.DUMMYFUNCTION("""COMPUTED_VALUE"""),"April 2026")</f>
        <v/>
      </c>
      <c r="C78" s="42">
        <f>IFERROR(__xludf.DUMMYFUNCTION("""COMPUTED_VALUE"""),"Mock Calls")</f>
        <v/>
      </c>
      <c r="D78" s="29" t="n"/>
      <c r="E78" s="42">
        <f>IFERROR(__xludf.DUMMYFUNCTION("""COMPUTED_VALUE"""),"Mock calls for SM")</f>
        <v/>
      </c>
      <c r="F78" s="29" t="n"/>
      <c r="G78" s="42">
        <f>IFERROR(__xludf.DUMMYFUNCTION("""COMPUTED_VALUE"""),"30-Apr")</f>
        <v/>
      </c>
      <c r="H78" s="42">
        <f>IFERROR(__xludf.DUMMYFUNCTION("""COMPUTED_VALUE"""),"30-Apr")</f>
        <v/>
      </c>
      <c r="I78" s="29" t="n"/>
      <c r="J78" s="42">
        <f>IFERROR(__xludf.DUMMYFUNCTION("""COMPUTED_VALUE"""),"Girish A")</f>
        <v/>
      </c>
      <c r="K78" s="29" t="n"/>
      <c r="L78" s="42">
        <f>IFERROR(__xludf.DUMMYFUNCTION("""COMPUTED_VALUE"""),"Offline")</f>
        <v/>
      </c>
      <c r="M78" s="29" t="n"/>
      <c r="N78" s="42">
        <f>IFERROR(__xludf.DUMMYFUNCTION("""COMPUTED_VALUE"""),"Mock calls")</f>
        <v/>
      </c>
      <c r="O78" s="29" t="n"/>
      <c r="P78" s="29" t="n"/>
      <c r="Q78" s="42">
        <f>IFERROR(__xludf.DUMMYFUNCTION("""COMPUTED_VALUE"""),2.0)</f>
        <v/>
      </c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>
        <f>IFERROR(__xludf.DUMMYFUNCTION("""COMPUTED_VALUE"""),"April 2026")</f>
        <v/>
      </c>
      <c r="C79" s="43">
        <f>IFERROR(__xludf.DUMMYFUNCTION("""COMPUTED_VALUE"""),"Ticket Tool Video")</f>
        <v/>
      </c>
      <c r="D79" s="34" t="n"/>
      <c r="E79" s="43">
        <f>IFERROR(__xludf.DUMMYFUNCTION("""COMPUTED_VALUE"""),"Video production")</f>
        <v/>
      </c>
      <c r="F79" s="34" t="n"/>
      <c r="G79" s="43">
        <f>IFERROR(__xludf.DUMMYFUNCTION("""COMPUTED_VALUE"""),"2-May")</f>
        <v/>
      </c>
      <c r="H79" s="43">
        <f>IFERROR(__xludf.DUMMYFUNCTION("""COMPUTED_VALUE"""),"2-May")</f>
        <v/>
      </c>
      <c r="I79" s="34" t="n"/>
      <c r="J79" s="43">
        <f>IFERROR(__xludf.DUMMYFUNCTION("""COMPUTED_VALUE"""),"Harish Bhat")</f>
        <v/>
      </c>
      <c r="K79" s="34" t="n"/>
      <c r="L79" s="43">
        <f>IFERROR(__xludf.DUMMYFUNCTION("""COMPUTED_VALUE"""),"Online")</f>
        <v/>
      </c>
      <c r="M79" s="34" t="n"/>
      <c r="N79" s="43">
        <f>IFERROR(__xludf.DUMMYFUNCTION("""COMPUTED_VALUE"""),"Ticket Tool")</f>
        <v/>
      </c>
      <c r="O79" s="34" t="n"/>
      <c r="P79" s="34" t="n"/>
      <c r="Q79" s="43">
        <f>IFERROR(__xludf.DUMMYFUNCTION("""COMPUTED_VALUE"""),3.0)</f>
        <v/>
      </c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autoFilter ref="$B$13:$C$14"/>
  <mergeCells count="73">
    <mergeCell ref="D20:E20"/>
    <mergeCell ref="D10:E10"/>
    <mergeCell ref="G26:J26"/>
    <mergeCell ref="H20:I20"/>
    <mergeCell ref="F10:G10"/>
    <mergeCell ref="D19:E19"/>
    <mergeCell ref="H10:I10"/>
    <mergeCell ref="J14:K14"/>
    <mergeCell ref="F19:G19"/>
    <mergeCell ref="N20:O20"/>
    <mergeCell ref="J19:K19"/>
    <mergeCell ref="B22:C22"/>
    <mergeCell ref="L19:M19"/>
    <mergeCell ref="D22:E22"/>
    <mergeCell ref="J13:K13"/>
    <mergeCell ref="N22:O22"/>
    <mergeCell ref="H9:I9"/>
    <mergeCell ref="B12:C12"/>
    <mergeCell ref="D21:E21"/>
    <mergeCell ref="A3:R3"/>
    <mergeCell ref="F21:G21"/>
    <mergeCell ref="B21:C21"/>
    <mergeCell ref="F12:G12"/>
    <mergeCell ref="H21:I21"/>
    <mergeCell ref="K26:R26"/>
    <mergeCell ref="N21:O21"/>
    <mergeCell ref="J23:K23"/>
    <mergeCell ref="A2:R2"/>
    <mergeCell ref="D13:E13"/>
    <mergeCell ref="F20:G20"/>
    <mergeCell ref="B23:C23"/>
    <mergeCell ref="B14:C14"/>
    <mergeCell ref="L23:M23"/>
    <mergeCell ref="N23:O23"/>
    <mergeCell ref="B8:C8"/>
    <mergeCell ref="B25:Q25"/>
    <mergeCell ref="B59:Q59"/>
    <mergeCell ref="A4:R4"/>
    <mergeCell ref="F8:G8"/>
    <mergeCell ref="B13:C13"/>
    <mergeCell ref="J20:K20"/>
    <mergeCell ref="L20:M20"/>
    <mergeCell ref="B19:C19"/>
    <mergeCell ref="B10:C10"/>
    <mergeCell ref="F23:G23"/>
    <mergeCell ref="H19:I19"/>
    <mergeCell ref="N19:O19"/>
    <mergeCell ref="F22:G22"/>
    <mergeCell ref="F13:G13"/>
    <mergeCell ref="B9:C9"/>
    <mergeCell ref="H22:I22"/>
    <mergeCell ref="D9:E9"/>
    <mergeCell ref="H13:I13"/>
    <mergeCell ref="J22:K22"/>
    <mergeCell ref="F9:G9"/>
    <mergeCell ref="D12:E12"/>
    <mergeCell ref="L22:M22"/>
    <mergeCell ref="D8:E8"/>
    <mergeCell ref="B6:C6"/>
    <mergeCell ref="H12:I12"/>
    <mergeCell ref="H8:I8"/>
    <mergeCell ref="J21:K21"/>
    <mergeCell ref="J12:K12"/>
    <mergeCell ref="L21:M21"/>
    <mergeCell ref="B17:Q17"/>
    <mergeCell ref="B20:C20"/>
    <mergeCell ref="D23:E23"/>
    <mergeCell ref="D14:E14"/>
    <mergeCell ref="E6:Q6"/>
    <mergeCell ref="F14:G14"/>
    <mergeCell ref="H23:I23"/>
    <mergeCell ref="H14:I14"/>
    <mergeCell ref="B26:F26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5" t="inlineStr">
        <is>
          <t>December 2025</t>
        </is>
      </c>
      <c r="B2" s="185" t="inlineStr">
        <is>
          <t>Team Refresher</t>
        </is>
      </c>
      <c r="C2" s="185" t="inlineStr">
        <is>
          <t>ACOP (Online Team)</t>
        </is>
      </c>
      <c r="D2" s="185" t="inlineStr">
        <is>
          <t>10-Dec</t>
        </is>
      </c>
      <c r="E2" s="185" t="inlineStr">
        <is>
          <t>23-Dec</t>
        </is>
      </c>
      <c r="F2" s="185" t="inlineStr">
        <is>
          <t>Raju Vernekar</t>
        </is>
      </c>
      <c r="G2" s="185" t="inlineStr">
        <is>
          <t>Online</t>
        </is>
      </c>
      <c r="H2" s="185" t="inlineStr">
        <is>
          <t>Kite mobile/web &amp; order types</t>
        </is>
      </c>
      <c r="I2" s="186" t="n">
        <v>16</v>
      </c>
    </row>
    <row r="3" ht="15" customHeight="1" s="156">
      <c r="A3" s="185" t="inlineStr">
        <is>
          <t>December 2025</t>
        </is>
      </c>
      <c r="B3" s="185" t="inlineStr">
        <is>
          <t>ACOP Team Refresher</t>
        </is>
      </c>
      <c r="C3" s="185" t="inlineStr">
        <is>
          <t>ACOP (Online Team)</t>
        </is>
      </c>
      <c r="D3" s="185" t="inlineStr">
        <is>
          <t>10-Dec</t>
        </is>
      </c>
      <c r="E3" s="185" t="inlineStr">
        <is>
          <t>19-Dec</t>
        </is>
      </c>
      <c r="F3" s="185" t="inlineStr">
        <is>
          <t>Gaurav Kumar</t>
        </is>
      </c>
      <c r="G3" s="185" t="inlineStr">
        <is>
          <t>Online</t>
        </is>
      </c>
      <c r="H3" s="185" t="inlineStr">
        <is>
          <t>Kite mobile/web &amp; order types</t>
        </is>
      </c>
      <c r="I3" s="186" t="n">
        <v>16</v>
      </c>
    </row>
    <row r="4" ht="15" customHeight="1" s="156">
      <c r="A4" s="187" t="inlineStr">
        <is>
          <t>December 2025</t>
        </is>
      </c>
      <c r="B4" s="187" t="inlineStr">
        <is>
          <t>Project Maven</t>
        </is>
      </c>
      <c r="C4" s="187" t="inlineStr">
        <is>
          <t>MCP (Project Maven)</t>
        </is>
      </c>
      <c r="D4" s="187" t="inlineStr">
        <is>
          <t>8-Dec</t>
        </is>
      </c>
      <c r="E4" s="187" t="inlineStr">
        <is>
          <t>On going</t>
        </is>
      </c>
      <c r="F4" s="187" t="inlineStr">
        <is>
          <t>Raju Vernekar</t>
        </is>
      </c>
      <c r="G4" s="187" t="inlineStr">
        <is>
          <t>Offline</t>
        </is>
      </c>
      <c r="H4" s="187" t="inlineStr">
        <is>
          <t>Project Maven for Support (MCP)</t>
        </is>
      </c>
      <c r="I4" s="188" t="n">
        <v>52</v>
      </c>
    </row>
    <row r="5" ht="15" customHeight="1" s="156">
      <c r="A5" s="187" t="inlineStr">
        <is>
          <t>December 2025</t>
        </is>
      </c>
      <c r="B5" s="187" t="inlineStr">
        <is>
          <t>Project Maven</t>
        </is>
      </c>
      <c r="C5" s="187" t="inlineStr">
        <is>
          <t>MCP (Project Maven)</t>
        </is>
      </c>
      <c r="D5" s="187" t="inlineStr">
        <is>
          <t>8-Dec</t>
        </is>
      </c>
      <c r="E5" s="187" t="inlineStr">
        <is>
          <t>On going</t>
        </is>
      </c>
      <c r="F5" s="187" t="inlineStr">
        <is>
          <t>Gaurav Kumar</t>
        </is>
      </c>
      <c r="G5" s="187" t="inlineStr">
        <is>
          <t>Offline</t>
        </is>
      </c>
      <c r="H5" s="187" t="inlineStr">
        <is>
          <t>Project Maven for Support (MCP)</t>
        </is>
      </c>
      <c r="I5" s="188" t="n">
        <v>45</v>
      </c>
    </row>
    <row r="6" ht="15" customHeight="1" s="156">
      <c r="A6" s="185" t="inlineStr">
        <is>
          <t>December 2025</t>
        </is>
      </c>
      <c r="B6" s="185" t="inlineStr">
        <is>
          <t>Webinar</t>
        </is>
      </c>
      <c r="C6" s="185" t="inlineStr">
        <is>
          <t>Support Team</t>
        </is>
      </c>
      <c r="D6" s="185" t="inlineStr">
        <is>
          <t>19-Dec</t>
        </is>
      </c>
      <c r="E6" s="185" t="inlineStr">
        <is>
          <t>19-Dec</t>
        </is>
      </c>
      <c r="F6" s="185" t="inlineStr">
        <is>
          <t>Gaurav Kumar / Raju Vernekar</t>
        </is>
      </c>
      <c r="G6" s="185" t="inlineStr">
        <is>
          <t>Online</t>
        </is>
      </c>
      <c r="H6" s="185" t="inlineStr">
        <is>
          <t>Delta Violation</t>
        </is>
      </c>
      <c r="I6" s="186" t="n">
        <v>3</v>
      </c>
    </row>
    <row r="7" ht="15" customHeight="1" s="156">
      <c r="A7" s="185" t="inlineStr">
        <is>
          <t>December 2025</t>
        </is>
      </c>
      <c r="B7" s="185" t="inlineStr">
        <is>
          <t>Session</t>
        </is>
      </c>
      <c r="C7" s="185" t="inlineStr">
        <is>
          <t>Support Manager &amp; AVPs</t>
        </is>
      </c>
      <c r="D7" s="185" t="inlineStr">
        <is>
          <t>11-Dec</t>
        </is>
      </c>
      <c r="E7" s="185" t="inlineStr">
        <is>
          <t>11-Dec</t>
        </is>
      </c>
      <c r="F7" s="185" t="inlineStr">
        <is>
          <t>Gaurav Kumar</t>
        </is>
      </c>
      <c r="G7" s="185" t="inlineStr">
        <is>
          <t>Online</t>
        </is>
      </c>
      <c r="H7" s="185" t="inlineStr">
        <is>
          <t>Delta Violation</t>
        </is>
      </c>
      <c r="I7" s="186" t="n">
        <v>3</v>
      </c>
    </row>
    <row r="8" ht="15" customHeight="1" s="156">
      <c r="A8" s="185" t="inlineStr">
        <is>
          <t>January 2026</t>
        </is>
      </c>
      <c r="B8" s="185" t="inlineStr">
        <is>
          <t>Refresher</t>
        </is>
      </c>
      <c r="C8" s="185" t="inlineStr">
        <is>
          <t>Sherin's Team</t>
        </is>
      </c>
      <c r="D8" s="185" t="inlineStr">
        <is>
          <t>13-Jan</t>
        </is>
      </c>
      <c r="E8" s="185" t="inlineStr">
        <is>
          <t>13-Jan</t>
        </is>
      </c>
      <c r="F8" s="185" t="inlineStr">
        <is>
          <t>Raju Vernekar</t>
        </is>
      </c>
      <c r="G8" s="185" t="inlineStr">
        <is>
          <t>Online</t>
        </is>
      </c>
      <c r="H8" s="185" t="inlineStr">
        <is>
          <t>Basics of support</t>
        </is>
      </c>
      <c r="I8" s="186" t="n">
        <v>4</v>
      </c>
    </row>
    <row r="9" ht="15" customHeight="1" s="156">
      <c r="A9" s="187" t="inlineStr">
        <is>
          <t>January 2026</t>
        </is>
      </c>
      <c r="B9" s="187" t="inlineStr">
        <is>
          <t>Project Maven</t>
        </is>
      </c>
      <c r="C9" s="187" t="inlineStr">
        <is>
          <t>MCP (Project Maven)</t>
        </is>
      </c>
      <c r="D9" s="187" t="inlineStr">
        <is>
          <t>1-Jan</t>
        </is>
      </c>
      <c r="E9" s="187" t="inlineStr">
        <is>
          <t>On going</t>
        </is>
      </c>
      <c r="F9" s="187" t="inlineStr">
        <is>
          <t>Raju Vernekar</t>
        </is>
      </c>
      <c r="G9" s="187" t="inlineStr">
        <is>
          <t>Offline</t>
        </is>
      </c>
      <c r="H9" s="187" t="inlineStr">
        <is>
          <t>Project Maven</t>
        </is>
      </c>
      <c r="I9" s="188" t="n">
        <v>156</v>
      </c>
    </row>
    <row r="10" ht="15" customHeight="1" s="156">
      <c r="A10" s="185" t="inlineStr">
        <is>
          <t>January 2026</t>
        </is>
      </c>
      <c r="B10" s="185" t="inlineStr">
        <is>
          <t>Assessments</t>
        </is>
      </c>
      <c r="C10" s="185" t="inlineStr">
        <is>
          <t>Communication Assessment Tool</t>
        </is>
      </c>
      <c r="D10" s="185" t="inlineStr">
        <is>
          <t>22-Jan</t>
        </is>
      </c>
      <c r="E10" s="185" t="inlineStr">
        <is>
          <t>22-Jan</t>
        </is>
      </c>
      <c r="F10" s="185" t="inlineStr">
        <is>
          <t>Raju Vernekar</t>
        </is>
      </c>
      <c r="G10" s="185" t="inlineStr">
        <is>
          <t>Online</t>
        </is>
      </c>
      <c r="H10" s="185" t="inlineStr">
        <is>
          <t>Communication Assessment</t>
        </is>
      </c>
      <c r="I10" s="186" t="n">
        <v>1</v>
      </c>
    </row>
    <row r="11" ht="15" customHeight="1" s="156">
      <c r="A11" s="185" t="inlineStr">
        <is>
          <t>January 2026</t>
        </is>
      </c>
      <c r="B11" s="185" t="inlineStr">
        <is>
          <t>Refresher</t>
        </is>
      </c>
      <c r="C11" s="185" t="inlineStr">
        <is>
          <t>Sherin's Team</t>
        </is>
      </c>
      <c r="D11" s="185" t="inlineStr">
        <is>
          <t>12-Jan</t>
        </is>
      </c>
      <c r="E11" s="185" t="inlineStr">
        <is>
          <t>20-Jan</t>
        </is>
      </c>
      <c r="F11" s="185" t="inlineStr">
        <is>
          <t>Gaurav Kumar</t>
        </is>
      </c>
      <c r="G11" s="185" t="inlineStr">
        <is>
          <t>Online</t>
        </is>
      </c>
      <c r="H11" s="185" t="inlineStr">
        <is>
          <t>MTF, Hedge, Basket, Corp actions, MF</t>
        </is>
      </c>
      <c r="I11" s="186" t="n">
        <v>15</v>
      </c>
    </row>
    <row r="12" ht="15" customHeight="1" s="156">
      <c r="A12" s="187" t="inlineStr">
        <is>
          <t>January 2026</t>
        </is>
      </c>
      <c r="B12" s="187" t="inlineStr">
        <is>
          <t>Project Maven</t>
        </is>
      </c>
      <c r="C12" s="187" t="inlineStr">
        <is>
          <t>MCP (Project Maven)</t>
        </is>
      </c>
      <c r="D12" s="187" t="inlineStr">
        <is>
          <t>1-Jan</t>
        </is>
      </c>
      <c r="E12" s="187" t="inlineStr">
        <is>
          <t>On going</t>
        </is>
      </c>
      <c r="F12" s="187" t="inlineStr">
        <is>
          <t>Gaurav Kumar</t>
        </is>
      </c>
      <c r="G12" s="187" t="inlineStr">
        <is>
          <t>Offline</t>
        </is>
      </c>
      <c r="H12" s="187" t="inlineStr">
        <is>
          <t>Project Maven</t>
        </is>
      </c>
      <c r="I12" s="188" t="n">
        <v>140</v>
      </c>
    </row>
    <row r="13" ht="15" customHeight="1" s="156">
      <c r="A13" s="185" t="inlineStr">
        <is>
          <t>January 2026</t>
        </is>
      </c>
      <c r="B13" s="185" t="inlineStr">
        <is>
          <t>Refresher for Entire Support</t>
        </is>
      </c>
      <c r="C13" s="185" t="inlineStr">
        <is>
          <t>Support Team</t>
        </is>
      </c>
      <c r="D13" s="185" t="inlineStr">
        <is>
          <t>28-Jan</t>
        </is>
      </c>
      <c r="E13" s="185" t="inlineStr">
        <is>
          <t>On going</t>
        </is>
      </c>
      <c r="F13" s="185" t="inlineStr">
        <is>
          <t>Gaurav Kumar</t>
        </is>
      </c>
      <c r="G13" s="185" t="inlineStr">
        <is>
          <t>Online</t>
        </is>
      </c>
      <c r="H13" s="185" t="inlineStr">
        <is>
          <t>Tijori Integration with Kite &amp; Console</t>
        </is>
      </c>
      <c r="I13" s="186" t="n">
        <v>65</v>
      </c>
    </row>
    <row r="14" ht="15" customHeight="1" s="156">
      <c r="A14" s="185" t="inlineStr">
        <is>
          <t>January 2026</t>
        </is>
      </c>
      <c r="B14" s="185" t="inlineStr">
        <is>
          <t>Refresher for Evening Support</t>
        </is>
      </c>
      <c r="C14" s="185" t="inlineStr">
        <is>
          <t>MCX Team</t>
        </is>
      </c>
      <c r="D14" s="185" t="inlineStr">
        <is>
          <t>29-Jan</t>
        </is>
      </c>
      <c r="E14" s="185" t="inlineStr">
        <is>
          <t>On going</t>
        </is>
      </c>
      <c r="F14" s="185" t="inlineStr">
        <is>
          <t>Gaurav Kumar</t>
        </is>
      </c>
      <c r="G14" s="185" t="inlineStr">
        <is>
          <t>Online</t>
        </is>
      </c>
      <c r="H14" s="185" t="inlineStr">
        <is>
          <t>Tijori and MCX Devolvement</t>
        </is>
      </c>
      <c r="I14" s="186" t="n">
        <v>11</v>
      </c>
    </row>
    <row r="15" ht="15" customHeight="1" s="156">
      <c r="A15" s="185" t="inlineStr">
        <is>
          <t>January 2026</t>
        </is>
      </c>
      <c r="B15" s="185" t="inlineStr">
        <is>
          <t>Content Team Session</t>
        </is>
      </c>
      <c r="C15" s="185" t="inlineStr">
        <is>
          <t>Stock tips</t>
        </is>
      </c>
      <c r="D15" s="185" t="inlineStr">
        <is>
          <t>28-Jan</t>
        </is>
      </c>
      <c r="E15" s="185" t="inlineStr">
        <is>
          <t>28-Jan</t>
        </is>
      </c>
      <c r="F15" s="185" t="inlineStr">
        <is>
          <t>Gaurav Kumar</t>
        </is>
      </c>
      <c r="G15" s="185" t="inlineStr">
        <is>
          <t>Online</t>
        </is>
      </c>
      <c r="H15" s="185" t="inlineStr">
        <is>
          <t>Session for Stock tips</t>
        </is>
      </c>
      <c r="I15" s="186" t="n">
        <v>1.5</v>
      </c>
    </row>
    <row r="16" ht="15" customHeight="1" s="156">
      <c r="A16" s="185" t="inlineStr">
        <is>
          <t>January 2026</t>
        </is>
      </c>
      <c r="B16" s="185" t="inlineStr">
        <is>
          <t>Support Team OJT</t>
        </is>
      </c>
      <c r="C16" s="185" t="inlineStr">
        <is>
          <t>OJT for SM (Support)</t>
        </is>
      </c>
      <c r="D16" s="185" t="inlineStr">
        <is>
          <t>27-Dec</t>
        </is>
      </c>
      <c r="E16" s="185" t="inlineStr">
        <is>
          <t>31-Jan</t>
        </is>
      </c>
      <c r="F16" s="185" t="inlineStr">
        <is>
          <t>Gaurav Kumar / Raju Vernekar</t>
        </is>
      </c>
      <c r="G16" s="185" t="inlineStr">
        <is>
          <t>Online</t>
        </is>
      </c>
      <c r="H16" s="185" t="inlineStr">
        <is>
          <t>Support On Job Training</t>
        </is>
      </c>
      <c r="I16" s="186" t="n">
        <v>50</v>
      </c>
    </row>
    <row r="17" ht="15" customHeight="1" s="156">
      <c r="A17" s="185" t="inlineStr">
        <is>
          <t>January 2026</t>
        </is>
      </c>
      <c r="B17" s="185" t="inlineStr">
        <is>
          <t>Assessment</t>
        </is>
      </c>
      <c r="C17" s="185" t="inlineStr">
        <is>
          <t>Sherin's Team</t>
        </is>
      </c>
      <c r="D17" s="185" t="inlineStr">
        <is>
          <t>23-Jan</t>
        </is>
      </c>
      <c r="E17" s="185" t="inlineStr">
        <is>
          <t>23-Jan</t>
        </is>
      </c>
      <c r="F17" s="185" t="inlineStr">
        <is>
          <t>Gaurav Kumar</t>
        </is>
      </c>
      <c r="G17" s="185" t="inlineStr">
        <is>
          <t>Online</t>
        </is>
      </c>
      <c r="H17" s="185" t="inlineStr">
        <is>
          <t>MTF, Hedge, Basket, Corp actions, MF</t>
        </is>
      </c>
      <c r="I17" s="186" t="n">
        <v>1.5</v>
      </c>
    </row>
    <row r="18" ht="15" customHeight="1" s="156">
      <c r="A18" s="187" t="inlineStr">
        <is>
          <t>February 2026</t>
        </is>
      </c>
      <c r="B18" s="187" t="inlineStr">
        <is>
          <t>Project Maven</t>
        </is>
      </c>
      <c r="C18" s="187" t="inlineStr">
        <is>
          <t>Project Maven</t>
        </is>
      </c>
      <c r="D18" s="187" t="inlineStr">
        <is>
          <t>1-Feb</t>
        </is>
      </c>
      <c r="E18" s="187" t="inlineStr">
        <is>
          <t>On going</t>
        </is>
      </c>
      <c r="F18" s="187" t="inlineStr">
        <is>
          <t>Raju Vernekar</t>
        </is>
      </c>
      <c r="G18" s="187" t="inlineStr">
        <is>
          <t>Offline</t>
        </is>
      </c>
      <c r="H18" s="187" t="inlineStr">
        <is>
          <t>Project Maven</t>
        </is>
      </c>
      <c r="I18" s="188" t="n">
        <v>104</v>
      </c>
    </row>
    <row r="19" ht="15" customHeight="1" s="156">
      <c r="A19" s="187" t="inlineStr">
        <is>
          <t>February 2026</t>
        </is>
      </c>
      <c r="B19" s="187" t="inlineStr">
        <is>
          <t>Project Maven</t>
        </is>
      </c>
      <c r="C19" s="187" t="inlineStr">
        <is>
          <t>Project Maven</t>
        </is>
      </c>
      <c r="D19" s="187" t="inlineStr">
        <is>
          <t>1-Feb</t>
        </is>
      </c>
      <c r="E19" s="187" t="inlineStr">
        <is>
          <t>On going</t>
        </is>
      </c>
      <c r="F19" s="187" t="inlineStr">
        <is>
          <t>Gaurav Kumar</t>
        </is>
      </c>
      <c r="G19" s="187" t="inlineStr">
        <is>
          <t>Offline</t>
        </is>
      </c>
      <c r="H19" s="187" t="inlineStr">
        <is>
          <t>Project Maven</t>
        </is>
      </c>
      <c r="I19" s="188" t="n">
        <v>102</v>
      </c>
    </row>
    <row r="20" ht="15" customHeight="1" s="156">
      <c r="A20" s="185" t="inlineStr">
        <is>
          <t>February 2026</t>
        </is>
      </c>
      <c r="B20" s="185" t="inlineStr">
        <is>
          <t>Refresher for Entire Support</t>
        </is>
      </c>
      <c r="C20" s="185" t="inlineStr">
        <is>
          <t>Customer Support</t>
        </is>
      </c>
      <c r="D20" s="185" t="inlineStr">
        <is>
          <t>27-Jan</t>
        </is>
      </c>
      <c r="E20" s="185" t="inlineStr">
        <is>
          <t>On going</t>
        </is>
      </c>
      <c r="F20" s="185" t="inlineStr">
        <is>
          <t>Gaurav Kumar</t>
        </is>
      </c>
      <c r="G20" s="185" t="inlineStr">
        <is>
          <t>Online</t>
        </is>
      </c>
      <c r="H20" s="185" t="inlineStr">
        <is>
          <t>Tijori, MCX Devolvement, SLB</t>
        </is>
      </c>
      <c r="I20" s="186" t="n">
        <v>36</v>
      </c>
    </row>
    <row r="21" ht="15.75" customHeight="1" s="156">
      <c r="A21" s="185" t="inlineStr">
        <is>
          <t>February 2026</t>
        </is>
      </c>
      <c r="B21" s="185" t="inlineStr">
        <is>
          <t>Refresher for Support</t>
        </is>
      </c>
      <c r="C21" s="185" t="inlineStr">
        <is>
          <t>Customer Support</t>
        </is>
      </c>
      <c r="D21" s="185" t="inlineStr">
        <is>
          <t>11-Feb</t>
        </is>
      </c>
      <c r="E21" s="185" t="inlineStr">
        <is>
          <t>Completed</t>
        </is>
      </c>
      <c r="F21" s="185" t="inlineStr">
        <is>
          <t>Raju Vernekar</t>
        </is>
      </c>
      <c r="G21" s="185" t="inlineStr">
        <is>
          <t>Online</t>
        </is>
      </c>
      <c r="H21" s="185" t="inlineStr">
        <is>
          <t>MCX Devolvement</t>
        </is>
      </c>
      <c r="I21" s="186" t="n">
        <v>8</v>
      </c>
    </row>
    <row r="22" ht="15.75" customHeight="1" s="156">
      <c r="A22" s="187" t="inlineStr">
        <is>
          <t>March 2026</t>
        </is>
      </c>
      <c r="B22" s="187" t="inlineStr">
        <is>
          <t>Assessment</t>
        </is>
      </c>
      <c r="C22" s="187" t="inlineStr">
        <is>
          <t>Assessment - Communicate 360</t>
        </is>
      </c>
      <c r="D22" s="187" t="inlineStr">
        <is>
          <t>1-Mar</t>
        </is>
      </c>
      <c r="E22" s="187" t="inlineStr">
        <is>
          <t>On going</t>
        </is>
      </c>
      <c r="F22" s="187" t="inlineStr">
        <is>
          <t>Freeda Reshma Dsouza</t>
        </is>
      </c>
      <c r="G22" s="187" t="inlineStr">
        <is>
          <t>Offline</t>
        </is>
      </c>
      <c r="H22" s="187" t="inlineStr">
        <is>
          <t>Assessment - Communicate 360</t>
        </is>
      </c>
      <c r="I22" s="188" t="n">
        <v>6</v>
      </c>
    </row>
    <row r="23" ht="15.75" customHeight="1" s="156">
      <c r="A23" s="187" t="inlineStr">
        <is>
          <t>March 2026</t>
        </is>
      </c>
      <c r="B23" s="187" t="inlineStr">
        <is>
          <t>Assessment</t>
        </is>
      </c>
      <c r="C23" s="187" t="inlineStr">
        <is>
          <t>Assessment tool - LMS</t>
        </is>
      </c>
      <c r="D23" s="187" t="inlineStr">
        <is>
          <t>1-Mar</t>
        </is>
      </c>
      <c r="E23" s="187" t="inlineStr">
        <is>
          <t>12-Mar</t>
        </is>
      </c>
      <c r="F23" s="187" t="inlineStr">
        <is>
          <t>Raju Vernekar / Girish A / Harish Bhat</t>
        </is>
      </c>
      <c r="G23" s="187" t="inlineStr">
        <is>
          <t>Offline</t>
        </is>
      </c>
      <c r="H23" s="187" t="inlineStr">
        <is>
          <t>Assessment tool - LMS</t>
        </is>
      </c>
      <c r="I23" s="188" t="n">
        <v>2</v>
      </c>
    </row>
    <row r="24" ht="15.75" customHeight="1" s="156">
      <c r="A24" s="187" t="inlineStr">
        <is>
          <t>March 2026</t>
        </is>
      </c>
      <c r="B24" s="187" t="inlineStr">
        <is>
          <t>Support Training</t>
        </is>
      </c>
      <c r="C24" s="187" t="inlineStr">
        <is>
          <t>Tool building - C360</t>
        </is>
      </c>
      <c r="D24" s="187" t="inlineStr">
        <is>
          <t>12-Mar</t>
        </is>
      </c>
      <c r="E24" s="187" t="inlineStr">
        <is>
          <t>12-Mar</t>
        </is>
      </c>
      <c r="F24" s="187" t="inlineStr">
        <is>
          <t>Raju Vernekar / Girish A / Harish Bhat</t>
        </is>
      </c>
      <c r="G24" s="187" t="inlineStr">
        <is>
          <t>Offline</t>
        </is>
      </c>
      <c r="H24" s="187" t="inlineStr">
        <is>
          <t>Tool building - C360</t>
        </is>
      </c>
      <c r="I24" s="188" t="n">
        <v>5</v>
      </c>
    </row>
    <row r="25" ht="15.75" customHeight="1" s="156">
      <c r="A25" s="187" t="inlineStr">
        <is>
          <t>March 2026</t>
        </is>
      </c>
      <c r="B25" s="187" t="inlineStr">
        <is>
          <t>Support Training</t>
        </is>
      </c>
      <c r="C25" s="187" t="inlineStr">
        <is>
          <t>Batch 1 - C360 Training</t>
        </is>
      </c>
      <c r="D25" s="187" t="inlineStr">
        <is>
          <t>12-Mar</t>
        </is>
      </c>
      <c r="E25" s="187" t="inlineStr">
        <is>
          <t>On going</t>
        </is>
      </c>
      <c r="F25" s="187" t="inlineStr">
        <is>
          <t>Freeda Reshma Dsouza</t>
        </is>
      </c>
      <c r="G25" s="187" t="inlineStr">
        <is>
          <t>Offline</t>
        </is>
      </c>
      <c r="H25" s="187" t="inlineStr">
        <is>
          <t>Batch 1 - C360 Training</t>
        </is>
      </c>
      <c r="I25" s="188" t="n">
        <v>8</v>
      </c>
    </row>
    <row r="26" ht="15.75" customHeight="1" s="156">
      <c r="A26" s="187" t="inlineStr">
        <is>
          <t>March 2026</t>
        </is>
      </c>
      <c r="B26" s="187" t="inlineStr">
        <is>
          <t>Assessment</t>
        </is>
      </c>
      <c r="C26" s="187" t="inlineStr">
        <is>
          <t>Correction of Assessment - C360</t>
        </is>
      </c>
      <c r="D26" s="187" t="inlineStr">
        <is>
          <t>12-Mar</t>
        </is>
      </c>
      <c r="E26" s="187" t="inlineStr">
        <is>
          <t>On going</t>
        </is>
      </c>
      <c r="F26" s="187" t="inlineStr">
        <is>
          <t>Freeda Reshma Dsouza</t>
        </is>
      </c>
      <c r="G26" s="187" t="inlineStr">
        <is>
          <t>Offline</t>
        </is>
      </c>
      <c r="H26" s="187" t="inlineStr">
        <is>
          <t>Correction of Assessment - C360</t>
        </is>
      </c>
      <c r="I26" s="188" t="n">
        <v>5</v>
      </c>
    </row>
    <row r="27" ht="15.75" customHeight="1" s="156">
      <c r="A27" s="187" t="inlineStr">
        <is>
          <t>March 2026</t>
        </is>
      </c>
      <c r="B27" s="187" t="inlineStr">
        <is>
          <t>Support Training</t>
        </is>
      </c>
      <c r="C27" s="187" t="inlineStr">
        <is>
          <t>Report Generation - C360</t>
        </is>
      </c>
      <c r="D27" s="187" t="inlineStr">
        <is>
          <t>12-Mar</t>
        </is>
      </c>
      <c r="E27" s="187" t="inlineStr">
        <is>
          <t>12-Mar</t>
        </is>
      </c>
      <c r="F27" s="187" t="inlineStr">
        <is>
          <t>Raju Vernekar / Girish A / Harish Bhat</t>
        </is>
      </c>
      <c r="G27" s="187" t="inlineStr">
        <is>
          <t>Offline</t>
        </is>
      </c>
      <c r="H27" s="187" t="inlineStr">
        <is>
          <t>Report Generation - C360</t>
        </is>
      </c>
      <c r="I27" s="188" t="n">
        <v>10</v>
      </c>
    </row>
    <row r="28" ht="15.75" customHeight="1" s="156">
      <c r="A28" s="187" t="inlineStr">
        <is>
          <t>March 2026</t>
        </is>
      </c>
      <c r="B28" s="187" t="inlineStr">
        <is>
          <t>Project Maven</t>
        </is>
      </c>
      <c r="C28" s="187" t="inlineStr">
        <is>
          <t>Project Maven</t>
        </is>
      </c>
      <c r="D28" s="187" t="inlineStr">
        <is>
          <t>1-Mar</t>
        </is>
      </c>
      <c r="E28" s="187" t="inlineStr">
        <is>
          <t>On going</t>
        </is>
      </c>
      <c r="F28" s="187" t="inlineStr">
        <is>
          <t>Raju Vernekar</t>
        </is>
      </c>
      <c r="G28" s="187" t="inlineStr">
        <is>
          <t>Offline</t>
        </is>
      </c>
      <c r="H28" s="187" t="inlineStr">
        <is>
          <t>Project Maven</t>
        </is>
      </c>
      <c r="I28" s="188" t="n">
        <v>104</v>
      </c>
    </row>
    <row r="29" ht="15.75" customHeight="1" s="156">
      <c r="A29" s="187" t="inlineStr">
        <is>
          <t>March 2026</t>
        </is>
      </c>
      <c r="B29" s="187" t="inlineStr">
        <is>
          <t>Project Maven</t>
        </is>
      </c>
      <c r="C29" s="187" t="inlineStr">
        <is>
          <t>Project Maven</t>
        </is>
      </c>
      <c r="D29" s="187" t="inlineStr">
        <is>
          <t>1-Mar</t>
        </is>
      </c>
      <c r="E29" s="187" t="inlineStr">
        <is>
          <t>On going</t>
        </is>
      </c>
      <c r="F29" s="187" t="inlineStr">
        <is>
          <t>Gaurav Kumar</t>
        </is>
      </c>
      <c r="G29" s="187" t="inlineStr">
        <is>
          <t>Offline</t>
        </is>
      </c>
      <c r="H29" s="187" t="inlineStr">
        <is>
          <t>Project Maven</t>
        </is>
      </c>
      <c r="I29" s="188" t="n">
        <v>102</v>
      </c>
    </row>
    <row r="30" ht="15.75" customHeight="1" s="156">
      <c r="A30" s="185" t="inlineStr">
        <is>
          <t>March 2026</t>
        </is>
      </c>
      <c r="B30" s="185" t="inlineStr">
        <is>
          <t>Varsity Team Session</t>
        </is>
      </c>
      <c r="C30" s="185" t="inlineStr">
        <is>
          <t>Stock tips</t>
        </is>
      </c>
      <c r="D30" s="185" t="inlineStr">
        <is>
          <t>27-Mar</t>
        </is>
      </c>
      <c r="E30" s="185" t="inlineStr">
        <is>
          <t>27-Mar</t>
        </is>
      </c>
      <c r="F30" s="185" t="inlineStr">
        <is>
          <t>Gaurav Kumar</t>
        </is>
      </c>
      <c r="G30" s="185" t="inlineStr">
        <is>
          <t>Online</t>
        </is>
      </c>
      <c r="H30" s="185" t="inlineStr">
        <is>
          <t>New hire training</t>
        </is>
      </c>
      <c r="I30" s="186" t="n">
        <v>1.5</v>
      </c>
    </row>
    <row r="31" ht="15.75" customHeight="1" s="156">
      <c r="A31" s="187" t="inlineStr">
        <is>
          <t>April 2026</t>
        </is>
      </c>
      <c r="B31" s="187" t="inlineStr">
        <is>
          <t>Support Training</t>
        </is>
      </c>
      <c r="C31" s="187" t="inlineStr">
        <is>
          <t>Batch 2 - C360 Training</t>
        </is>
      </c>
      <c r="D31" s="187" t="inlineStr">
        <is>
          <t>7-Apr</t>
        </is>
      </c>
      <c r="E31" s="187" t="inlineStr">
        <is>
          <t>10-Apr</t>
        </is>
      </c>
      <c r="F31" s="187" t="inlineStr">
        <is>
          <t>Freeda Reshma Dsouza</t>
        </is>
      </c>
      <c r="G31" s="187" t="inlineStr">
        <is>
          <t>Offline</t>
        </is>
      </c>
      <c r="H31" s="187" t="inlineStr">
        <is>
          <t>Assessment - Communicate 360</t>
        </is>
      </c>
      <c r="I31" s="188" t="n">
        <v>20</v>
      </c>
    </row>
    <row r="32" ht="15.75" customHeight="1" s="156">
      <c r="A32" s="187" t="inlineStr">
        <is>
          <t>April 2026</t>
        </is>
      </c>
      <c r="B32" s="187" t="inlineStr">
        <is>
          <t>Support Training</t>
        </is>
      </c>
      <c r="C32" s="187" t="inlineStr">
        <is>
          <t>Batch 3 - C360 Training</t>
        </is>
      </c>
      <c r="D32" s="187" t="inlineStr">
        <is>
          <t>21-Apr</t>
        </is>
      </c>
      <c r="E32" s="187" t="inlineStr">
        <is>
          <t>24-Apr</t>
        </is>
      </c>
      <c r="F32" s="187" t="inlineStr">
        <is>
          <t>Freeda Reshma Dsouza</t>
        </is>
      </c>
      <c r="G32" s="187" t="inlineStr">
        <is>
          <t>Offline</t>
        </is>
      </c>
      <c r="H32" s="187" t="inlineStr">
        <is>
          <t>Assessment - Communicate 360</t>
        </is>
      </c>
      <c r="I32" s="188" t="n">
        <v>20</v>
      </c>
    </row>
    <row r="33" ht="15.75" customHeight="1" s="156">
      <c r="A33" s="187" t="inlineStr">
        <is>
          <t>April 2026</t>
        </is>
      </c>
      <c r="B33" s="187" t="inlineStr">
        <is>
          <t>Support Training</t>
        </is>
      </c>
      <c r="C33" s="187" t="inlineStr">
        <is>
          <t>Batch 2 - C360 (Girish)</t>
        </is>
      </c>
      <c r="D33" s="187" t="inlineStr">
        <is>
          <t>21-Apr</t>
        </is>
      </c>
      <c r="E33" s="187" t="inlineStr">
        <is>
          <t>24-Apr</t>
        </is>
      </c>
      <c r="F33" s="187" t="inlineStr">
        <is>
          <t>Girish A</t>
        </is>
      </c>
      <c r="G33" s="187" t="inlineStr">
        <is>
          <t>Offline</t>
        </is>
      </c>
      <c r="H33" s="187" t="inlineStr">
        <is>
          <t>Assessment - Communicate 360</t>
        </is>
      </c>
      <c r="I33" s="188" t="n">
        <v>9</v>
      </c>
    </row>
    <row r="34" ht="15.75" customHeight="1" s="156">
      <c r="A34" s="187" t="inlineStr">
        <is>
          <t>April 2026</t>
        </is>
      </c>
      <c r="B34" s="187" t="inlineStr">
        <is>
          <t>Support Training</t>
        </is>
      </c>
      <c r="C34" s="187" t="inlineStr">
        <is>
          <t>Batch - C360 (Harish)</t>
        </is>
      </c>
      <c r="D34" s="187" t="inlineStr">
        <is>
          <t>21-Apr</t>
        </is>
      </c>
      <c r="E34" s="187" t="inlineStr">
        <is>
          <t>24-Apr</t>
        </is>
      </c>
      <c r="F34" s="187" t="inlineStr">
        <is>
          <t>Harish Bhat</t>
        </is>
      </c>
      <c r="G34" s="187" t="inlineStr">
        <is>
          <t>Offline</t>
        </is>
      </c>
      <c r="H34" s="187" t="inlineStr">
        <is>
          <t>Assessment - Communicate 360</t>
        </is>
      </c>
      <c r="I34" s="188" t="n">
        <v>9</v>
      </c>
    </row>
    <row r="35" ht="15.75" customHeight="1" s="156">
      <c r="A35" s="187" t="inlineStr">
        <is>
          <t>April 2026</t>
        </is>
      </c>
      <c r="B35" s="187" t="inlineStr">
        <is>
          <t>Support Training</t>
        </is>
      </c>
      <c r="C35" s="187" t="inlineStr">
        <is>
          <t>Tool Building - C360 Modifications</t>
        </is>
      </c>
      <c r="D35" s="187" t="inlineStr">
        <is>
          <t>13-Apr</t>
        </is>
      </c>
      <c r="E35" s="187" t="inlineStr">
        <is>
          <t>30-Apr</t>
        </is>
      </c>
      <c r="F35" s="187" t="inlineStr">
        <is>
          <t>Raju Vernekar / Girish A / Harish Bhat</t>
        </is>
      </c>
      <c r="G35" s="187" t="inlineStr">
        <is>
          <t>Offline</t>
        </is>
      </c>
      <c r="H35" s="187" t="inlineStr">
        <is>
          <t>Tool Building - C360 Modifications</t>
        </is>
      </c>
      <c r="I35" s="188" t="n">
        <v>15</v>
      </c>
    </row>
    <row r="36" ht="15.75" customHeight="1" s="156">
      <c r="A36" s="187" t="inlineStr">
        <is>
          <t>April 2026</t>
        </is>
      </c>
      <c r="B36" s="187" t="inlineStr">
        <is>
          <t>Assessment</t>
        </is>
      </c>
      <c r="C36" s="187" t="inlineStr">
        <is>
          <t>Batch 1 - Correction C360</t>
        </is>
      </c>
      <c r="D36" s="187" t="inlineStr">
        <is>
          <t>11-Apr</t>
        </is>
      </c>
      <c r="E36" s="187" t="inlineStr">
        <is>
          <t>15-Apr</t>
        </is>
      </c>
      <c r="F36" s="187" t="inlineStr">
        <is>
          <t>Freeda Reshma Dsouza / Girish A / Harish Bhat</t>
        </is>
      </c>
      <c r="G36" s="187" t="inlineStr">
        <is>
          <t>Offline</t>
        </is>
      </c>
      <c r="H36" s="187" t="inlineStr">
        <is>
          <t>Correction of Assessment - C360</t>
        </is>
      </c>
      <c r="I36" s="188" t="n">
        <v>30</v>
      </c>
    </row>
    <row r="37" ht="15.75" customHeight="1" s="156">
      <c r="A37" s="187" t="inlineStr">
        <is>
          <t>April 2026</t>
        </is>
      </c>
      <c r="B37" s="187" t="inlineStr">
        <is>
          <t>Assessment</t>
        </is>
      </c>
      <c r="C37" s="187" t="inlineStr">
        <is>
          <t>Batch 2 - Correction C360</t>
        </is>
      </c>
      <c r="D37" s="187" t="inlineStr">
        <is>
          <t>27-Apr</t>
        </is>
      </c>
      <c r="E37" s="187" t="inlineStr">
        <is>
          <t>30-Apr</t>
        </is>
      </c>
      <c r="F37" s="187" t="inlineStr">
        <is>
          <t>Girish A / Harish Bhat</t>
        </is>
      </c>
      <c r="G37" s="187" t="inlineStr">
        <is>
          <t>Offline</t>
        </is>
      </c>
      <c r="H37" s="187" t="inlineStr">
        <is>
          <t>Correction of Assessment - C360</t>
        </is>
      </c>
      <c r="I37" s="188" t="n">
        <v>15</v>
      </c>
    </row>
    <row r="38" ht="15.75" customHeight="1" s="156">
      <c r="A38" s="187" t="inlineStr">
        <is>
          <t>April 2026</t>
        </is>
      </c>
      <c r="B38" s="187" t="inlineStr">
        <is>
          <t>Support Training</t>
        </is>
      </c>
      <c r="C38" s="187" t="inlineStr">
        <is>
          <t>Batch 1&amp;2 Report Generation</t>
        </is>
      </c>
      <c r="D38" s="187" t="inlineStr">
        <is>
          <t>21-Apr</t>
        </is>
      </c>
      <c r="E38" s="187" t="inlineStr">
        <is>
          <t>21-Apr</t>
        </is>
      </c>
      <c r="F38" s="187" t="inlineStr">
        <is>
          <t>Harish Bhat</t>
        </is>
      </c>
      <c r="G38" s="187" t="inlineStr">
        <is>
          <t>Offline</t>
        </is>
      </c>
      <c r="H38" s="187" t="inlineStr">
        <is>
          <t>Report Generation - C360</t>
        </is>
      </c>
      <c r="I38" s="188" t="n">
        <v>8</v>
      </c>
    </row>
    <row r="39" ht="15.75" customHeight="1" s="156">
      <c r="A39" s="185" t="inlineStr">
        <is>
          <t>April 2026</t>
        </is>
      </c>
      <c r="B39" s="185" t="inlineStr">
        <is>
          <t>Accop Training</t>
        </is>
      </c>
      <c r="C39" s="185" t="inlineStr">
        <is>
          <t>Session on AML &amp; Stock tips</t>
        </is>
      </c>
      <c r="D39" s="185" t="inlineStr">
        <is>
          <t>23-Apr</t>
        </is>
      </c>
      <c r="E39" s="185" t="inlineStr">
        <is>
          <t>23-Apr</t>
        </is>
      </c>
      <c r="F39" s="185" t="inlineStr">
        <is>
          <t>Girish A</t>
        </is>
      </c>
      <c r="G39" s="185" t="inlineStr">
        <is>
          <t>Online</t>
        </is>
      </c>
      <c r="H39" s="185" t="inlineStr">
        <is>
          <t>AML &amp; Stock tips</t>
        </is>
      </c>
      <c r="I39" s="186" t="n">
        <v>1.75</v>
      </c>
    </row>
    <row r="40" ht="15.75" customHeight="1" s="156">
      <c r="A40" s="185" t="inlineStr">
        <is>
          <t>April 2026</t>
        </is>
      </c>
      <c r="B40" s="185" t="inlineStr">
        <is>
          <t>NRI Team Training</t>
        </is>
      </c>
      <c r="C40" s="185" t="inlineStr">
        <is>
          <t>Session on AML &amp; Stock tips</t>
        </is>
      </c>
      <c r="D40" s="185" t="inlineStr">
        <is>
          <t>27-Apr</t>
        </is>
      </c>
      <c r="E40" s="185" t="inlineStr">
        <is>
          <t>27-Apr</t>
        </is>
      </c>
      <c r="F40" s="185" t="inlineStr">
        <is>
          <t>Harish Bhat</t>
        </is>
      </c>
      <c r="G40" s="185" t="inlineStr">
        <is>
          <t>Online</t>
        </is>
      </c>
      <c r="H40" s="185" t="inlineStr">
        <is>
          <t>AML &amp; Stock tips</t>
        </is>
      </c>
      <c r="I40" s="186" t="n">
        <v>1.75</v>
      </c>
    </row>
    <row r="41" ht="15.75" customHeight="1" s="156">
      <c r="A41" s="185" t="inlineStr">
        <is>
          <t>April 2026</t>
        </is>
      </c>
      <c r="B41" s="185" t="inlineStr">
        <is>
          <t>Fresh Hires Training</t>
        </is>
      </c>
      <c r="C41" s="185" t="inlineStr">
        <is>
          <t>Session on AML &amp; Stock tips</t>
        </is>
      </c>
      <c r="D41" s="185" t="inlineStr">
        <is>
          <t>29-Apr</t>
        </is>
      </c>
      <c r="E41" s="185" t="inlineStr">
        <is>
          <t>29-Apr</t>
        </is>
      </c>
      <c r="F41" s="185" t="inlineStr">
        <is>
          <t>Girish A</t>
        </is>
      </c>
      <c r="G41" s="185" t="inlineStr">
        <is>
          <t>Online</t>
        </is>
      </c>
      <c r="H41" s="185" t="inlineStr">
        <is>
          <t>AML &amp; Stock tips</t>
        </is>
      </c>
      <c r="I41" s="186" t="n">
        <v>0.75</v>
      </c>
    </row>
    <row r="42" ht="15.75" customHeight="1" s="156">
      <c r="A42" s="185" t="inlineStr">
        <is>
          <t>April 2026</t>
        </is>
      </c>
      <c r="B42" s="185" t="inlineStr">
        <is>
          <t>Training Need Analysis</t>
        </is>
      </c>
      <c r="C42" s="185" t="inlineStr">
        <is>
          <t>Understanding requirements from CS</t>
        </is>
      </c>
      <c r="D42" s="185" t="inlineStr">
        <is>
          <t>16-Apr</t>
        </is>
      </c>
      <c r="E42" s="185" t="inlineStr">
        <is>
          <t>16-Apr</t>
        </is>
      </c>
      <c r="F42" s="185" t="inlineStr">
        <is>
          <t>Freeda Reshma Dsouza</t>
        </is>
      </c>
      <c r="G42" s="185" t="inlineStr">
        <is>
          <t>Online</t>
        </is>
      </c>
      <c r="H42" s="185" t="inlineStr">
        <is>
          <t>Training Need Analysis</t>
        </is>
      </c>
      <c r="I42" s="186" t="n">
        <v>1</v>
      </c>
    </row>
    <row r="43" ht="15.75" customHeight="1" s="156">
      <c r="A43" s="185" t="inlineStr">
        <is>
          <t>April 2026</t>
        </is>
      </c>
      <c r="B43" s="185" t="inlineStr">
        <is>
          <t>Self Assessment Form</t>
        </is>
      </c>
      <c r="C43" s="185" t="inlineStr">
        <is>
          <t>Building self assessment for CS</t>
        </is>
      </c>
      <c r="D43" s="185" t="inlineStr">
        <is>
          <t>17-Apr</t>
        </is>
      </c>
      <c r="E43" s="185" t="inlineStr">
        <is>
          <t>17-Apr</t>
        </is>
      </c>
      <c r="F43" s="185" t="inlineStr">
        <is>
          <t>Freeda Reshma Dsouza</t>
        </is>
      </c>
      <c r="G43" s="185" t="inlineStr">
        <is>
          <t>Online</t>
        </is>
      </c>
      <c r="H43" s="185" t="inlineStr">
        <is>
          <t>Self Assessment</t>
        </is>
      </c>
      <c r="I43" s="186" t="n">
        <v>0.5</v>
      </c>
    </row>
    <row r="44" ht="15.75" customHeight="1" s="156">
      <c r="A44" s="187" t="inlineStr">
        <is>
          <t>April 2026</t>
        </is>
      </c>
      <c r="B44" s="187" t="inlineStr">
        <is>
          <t>Varsity Scripts Writing</t>
        </is>
      </c>
      <c r="C44" s="187" t="inlineStr">
        <is>
          <t>Script preparation</t>
        </is>
      </c>
      <c r="D44" s="187" t="inlineStr">
        <is>
          <t>-</t>
        </is>
      </c>
      <c r="E44" s="187" t="inlineStr">
        <is>
          <t>-</t>
        </is>
      </c>
      <c r="F44" s="187" t="inlineStr">
        <is>
          <t>Harish Bhat</t>
        </is>
      </c>
      <c r="G44" s="187" t="inlineStr">
        <is>
          <t>Offline</t>
        </is>
      </c>
      <c r="H44" s="187" t="inlineStr">
        <is>
          <t>Varsity Scripts</t>
        </is>
      </c>
      <c r="I44" s="188" t="n">
        <v>2</v>
      </c>
    </row>
    <row r="45" ht="15.75" customHeight="1" s="156">
      <c r="A45" s="187" t="inlineStr">
        <is>
          <t>April 2026</t>
        </is>
      </c>
      <c r="B45" s="187" t="inlineStr">
        <is>
          <t>Varsity Video Shoot</t>
        </is>
      </c>
      <c r="C45" s="187" t="inlineStr">
        <is>
          <t>Video recording</t>
        </is>
      </c>
      <c r="D45" s="187" t="inlineStr">
        <is>
          <t>-</t>
        </is>
      </c>
      <c r="E45" s="187" t="inlineStr">
        <is>
          <t>-</t>
        </is>
      </c>
      <c r="F45" s="187" t="inlineStr">
        <is>
          <t>Harish Bhat</t>
        </is>
      </c>
      <c r="G45" s="187" t="inlineStr">
        <is>
          <t>Offline</t>
        </is>
      </c>
      <c r="H45" s="187" t="inlineStr">
        <is>
          <t>Varsity Videos</t>
        </is>
      </c>
      <c r="I45" s="188" t="n">
        <v>2</v>
      </c>
    </row>
    <row r="46" ht="15.75" customHeight="1" s="156">
      <c r="A46" s="187" t="inlineStr">
        <is>
          <t>April 2026</t>
        </is>
      </c>
      <c r="B46" s="187" t="inlineStr">
        <is>
          <t>Varsity Backend Support</t>
        </is>
      </c>
      <c r="C46" s="187" t="inlineStr">
        <is>
          <t>Tickets, exam schedule</t>
        </is>
      </c>
      <c r="D46" s="187" t="inlineStr">
        <is>
          <t>-</t>
        </is>
      </c>
      <c r="E46" s="187" t="inlineStr">
        <is>
          <t>-</t>
        </is>
      </c>
      <c r="F46" s="187" t="inlineStr">
        <is>
          <t>Harish Bhat</t>
        </is>
      </c>
      <c r="G46" s="187" t="inlineStr">
        <is>
          <t>Offline</t>
        </is>
      </c>
      <c r="H46" s="187" t="inlineStr">
        <is>
          <t>Varsity Backend</t>
        </is>
      </c>
      <c r="I46" s="188" t="n">
        <v>15</v>
      </c>
    </row>
    <row r="47" ht="15.75" customHeight="1" s="156">
      <c r="A47" s="187" t="inlineStr">
        <is>
          <t>April 2026</t>
        </is>
      </c>
      <c r="B47" s="187" t="inlineStr">
        <is>
          <t>Mock Calls</t>
        </is>
      </c>
      <c r="C47" s="187" t="inlineStr">
        <is>
          <t>Mock calls for SM</t>
        </is>
      </c>
      <c r="D47" s="187" t="inlineStr">
        <is>
          <t>30-Apr</t>
        </is>
      </c>
      <c r="E47" s="187" t="inlineStr">
        <is>
          <t>30-Apr</t>
        </is>
      </c>
      <c r="F47" s="187" t="inlineStr">
        <is>
          <t>Harish Bhat</t>
        </is>
      </c>
      <c r="G47" s="187" t="inlineStr">
        <is>
          <t>Offline</t>
        </is>
      </c>
      <c r="H47" s="187" t="inlineStr">
        <is>
          <t>Mock calls</t>
        </is>
      </c>
      <c r="I47" s="188" t="n">
        <v>2</v>
      </c>
    </row>
    <row r="48" ht="15.75" customHeight="1" s="156">
      <c r="A48" s="187" t="inlineStr">
        <is>
          <t>April 2026</t>
        </is>
      </c>
      <c r="B48" s="187" t="inlineStr">
        <is>
          <t>Mock Calls</t>
        </is>
      </c>
      <c r="C48" s="187" t="inlineStr">
        <is>
          <t>Mock calls for SM</t>
        </is>
      </c>
      <c r="D48" s="187" t="inlineStr">
        <is>
          <t>30-Apr</t>
        </is>
      </c>
      <c r="E48" s="187" t="inlineStr">
        <is>
          <t>30-Apr</t>
        </is>
      </c>
      <c r="F48" s="187" t="inlineStr">
        <is>
          <t>Girish A</t>
        </is>
      </c>
      <c r="G48" s="187" t="inlineStr">
        <is>
          <t>Offline</t>
        </is>
      </c>
      <c r="H48" s="187" t="inlineStr">
        <is>
          <t>Mock calls</t>
        </is>
      </c>
      <c r="I48" s="188" t="n">
        <v>2</v>
      </c>
    </row>
    <row r="49" ht="15.75" customHeight="1" s="156">
      <c r="A49" s="185" t="inlineStr">
        <is>
          <t>April 2026</t>
        </is>
      </c>
      <c r="B49" s="185" t="inlineStr">
        <is>
          <t>Ticket Tool Video</t>
        </is>
      </c>
      <c r="C49" s="185" t="inlineStr">
        <is>
          <t>Video production</t>
        </is>
      </c>
      <c r="D49" s="185" t="inlineStr">
        <is>
          <t>2-May</t>
        </is>
      </c>
      <c r="E49" s="185" t="inlineStr">
        <is>
          <t>2-May</t>
        </is>
      </c>
      <c r="F49" s="185" t="inlineStr">
        <is>
          <t>Harish Bhat</t>
        </is>
      </c>
      <c r="G49" s="185" t="inlineStr">
        <is>
          <t>Online</t>
        </is>
      </c>
      <c r="H49" s="185" t="inlineStr">
        <is>
          <t>Ticket Tool</t>
        </is>
      </c>
      <c r="I49" s="186" t="n">
        <v>3</v>
      </c>
    </row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8">
      <c r="A8" t="inlineStr">
        <is>
          <t>Session Type</t>
        </is>
      </c>
      <c r="B8" t="inlineStr">
        <is>
          <t>Hours</t>
        </is>
      </c>
    </row>
    <row r="9" ht="15" customHeight="1" s="156">
      <c r="A9" t="inlineStr">
        <is>
          <t>Online</t>
        </is>
      </c>
      <c r="B9">
        <f>IF(Dashboard!$D$6="All Months",SUMIF(Data!$G$2:$G$200,"Online",Data!$I$2:$I$200),SUMPRODUCT((Data!$A$2:$A$200=Dashboard!$D$6)*(Data!$G$2:$G$200="Online")*Data!$I$2:$I$200))</f>
        <v/>
      </c>
    </row>
    <row r="10" ht="15" customHeight="1" s="156">
      <c r="A10" t="inlineStr">
        <is>
          <t>Offline</t>
        </is>
      </c>
      <c r="B10">
        <f>IF(Dashboard!$D$6="All Months",SUMIF(Data!$G$2:$G$200,"Offline",Data!$I$2:$I$200),SUMPRODUCT((Data!$A$2:$A$200=Dashboard!$D$6)*(Data!$G$2:$G$200="Offline")*Data!$I$2:$I$200))</f>
        <v/>
      </c>
    </row>
    <row r="11" ht="15" customHeight="1" s="156"/>
    <row r="12">
      <c r="A12" t="inlineStr">
        <is>
          <t>Activity</t>
        </is>
      </c>
      <c r="B12" t="inlineStr">
        <is>
          <t>Hours</t>
        </is>
      </c>
    </row>
    <row r="13">
      <c r="A13" t="inlineStr">
        <is>
          <t>Project Maven</t>
        </is>
      </c>
      <c r="B13">
        <f>IF(Dashboard!$D$6="All Months",SUMIF(Data!$B$2:$B$200,"Project Maven",Data!$I$2:$I$200),SUMPRODUCT((Data!$A$2:$A$200=Dashboard!$D$6)*(Data!$B$2:$B$200="Project Maven")*Data!$I$2:$I$200))</f>
        <v/>
      </c>
    </row>
    <row r="14" ht="15" customHeight="1" s="156">
      <c r="A14" t="inlineStr">
        <is>
          <t>Support Training</t>
        </is>
      </c>
      <c r="B14">
        <f>IF(Dashboard!$D$6="All Months",SUMIF(Data!$B$2:$B$200,"Support Training",Data!$I$2:$I$200),SUMPRODUCT((Data!$A$2:$A$200=Dashboard!$D$6)*(Data!$B$2:$B$200="Support Training")*Data!$I$2:$I$200))</f>
        <v/>
      </c>
    </row>
    <row r="15" ht="15" customHeight="1" s="156">
      <c r="A15" t="inlineStr">
        <is>
          <t>Refresher for Entire Support</t>
        </is>
      </c>
      <c r="B15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6" ht="15" customHeight="1" s="156">
      <c r="A16" t="inlineStr">
        <is>
          <t>Assessment</t>
        </is>
      </c>
      <c r="B16">
        <f>IF(Dashboard!$D$6="All Months",SUMIF(Data!$B$2:$B$200,"Assessment",Data!$I$2:$I$200),SUMPRODUCT((Data!$A$2:$A$200=Dashboard!$D$6)*(Data!$B$2:$B$200="Assessment")*Data!$I$2:$I$200))</f>
        <v/>
      </c>
    </row>
    <row r="17" ht="15" customHeight="1" s="156">
      <c r="A17" t="inlineStr">
        <is>
          <t>Support Team OJT</t>
        </is>
      </c>
      <c r="B17">
        <f>IF(Dashboard!$D$6="All Months",SUMIF(Data!$B$2:$B$200,"Support Team OJT",Data!$I$2:$I$200),SUMPRODUCT((Data!$A$2:$A$200=Dashboard!$D$6)*(Data!$B$2:$B$200="Support Team OJT")*Data!$I$2:$I$200))</f>
        <v/>
      </c>
    </row>
    <row r="18" ht="15" customHeight="1" s="156">
      <c r="A18" t="inlineStr">
        <is>
          <t>Refresher</t>
        </is>
      </c>
      <c r="B18">
        <f>IF(Dashboard!$D$6="All Months",SUMIF(Data!$B$2:$B$200,"Refresher",Data!$I$2:$I$200),SUMPRODUCT((Data!$A$2:$A$200=Dashboard!$D$6)*(Data!$B$2:$B$200="Refresher")*Data!$I$2:$I$200))</f>
        <v/>
      </c>
    </row>
    <row r="19" ht="15" customHeight="1" s="156">
      <c r="A19" t="inlineStr">
        <is>
          <t>Team Refresher</t>
        </is>
      </c>
      <c r="B19">
        <f>IF(Dashboard!$D$6="All Months",SUMIF(Data!$B$2:$B$200,"Team Refresher",Data!$I$2:$I$200),SUMPRODUCT((Data!$A$2:$A$200=Dashboard!$D$6)*(Data!$B$2:$B$200="Team Refresher")*Data!$I$2:$I$200))</f>
        <v/>
      </c>
    </row>
    <row r="20" ht="15" customHeight="1" s="156">
      <c r="A20" t="inlineStr">
        <is>
          <t>ACOP Team Refresher</t>
        </is>
      </c>
      <c r="B20">
        <f>IF(Dashboard!$D$6="All Months",SUMIF(Data!$B$2:$B$200,"ACOP Team Refresher",Data!$I$2:$I$200),SUMPRODUCT((Data!$A$2:$A$200=Dashboard!$D$6)*(Data!$B$2:$B$200="ACOP Team Refresher")*Data!$I$2:$I$200))</f>
        <v/>
      </c>
    </row>
    <row r="21" ht="15.75" customHeight="1" s="156">
      <c r="A21" t="inlineStr">
        <is>
          <t>Varsity Backend Support</t>
        </is>
      </c>
      <c r="B21">
        <f>IF(Dashboard!$D$6="All Months",SUMIF(Data!$B$2:$B$200,"Varsity Backend Support",Data!$I$2:$I$200),SUMPRODUCT((Data!$A$2:$A$200=Dashboard!$D$6)*(Data!$B$2:$B$200="Varsity Backend Support")*Data!$I$2:$I$200))</f>
        <v/>
      </c>
    </row>
    <row r="22" ht="15.75" customHeight="1" s="156">
      <c r="A22" t="inlineStr">
        <is>
          <t>Refresher for Evening Support</t>
        </is>
      </c>
      <c r="B22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3" ht="15.75" customHeight="1" s="156">
      <c r="A23" t="inlineStr">
        <is>
          <t>Refresher for Support</t>
        </is>
      </c>
      <c r="B23">
        <f>IF(Dashboard!$D$6="All Months",SUMIF(Data!$B$2:$B$200,"Refresher for Support",Data!$I$2:$I$200),SUMPRODUCT((Data!$A$2:$A$200=Dashboard!$D$6)*(Data!$B$2:$B$200="Refresher for Support")*Data!$I$2:$I$200))</f>
        <v/>
      </c>
    </row>
    <row r="24" ht="15.75" customHeight="1" s="156">
      <c r="A24" t="inlineStr">
        <is>
          <t>Mock Calls</t>
        </is>
      </c>
      <c r="B24">
        <f>IF(Dashboard!$D$6="All Months",SUMIF(Data!$B$2:$B$200,"Mock Calls",Data!$I$2:$I$200),SUMPRODUCT((Data!$A$2:$A$200=Dashboard!$D$6)*(Data!$B$2:$B$200="Mock Calls")*Data!$I$2:$I$200))</f>
        <v/>
      </c>
    </row>
    <row r="25" ht="15.75" customHeight="1" s="156">
      <c r="A25" t="inlineStr">
        <is>
          <t>Webinar</t>
        </is>
      </c>
      <c r="B25">
        <f>IF(Dashboard!$D$6="All Months",SUMIF(Data!$B$2:$B$200,"Webinar",Data!$I$2:$I$200),SUMPRODUCT((Data!$A$2:$A$200=Dashboard!$D$6)*(Data!$B$2:$B$200="Webinar")*Data!$I$2:$I$200))</f>
        <v/>
      </c>
    </row>
    <row r="26" ht="15.75" customHeight="1" s="156">
      <c r="A26" t="inlineStr">
        <is>
          <t>Session</t>
        </is>
      </c>
      <c r="B26">
        <f>IF(Dashboard!$D$6="All Months",SUMIF(Data!$B$2:$B$200,"Session",Data!$I$2:$I$200),SUMPRODUCT((Data!$A$2:$A$200=Dashboard!$D$6)*(Data!$B$2:$B$200="Session")*Data!$I$2:$I$200))</f>
        <v/>
      </c>
    </row>
    <row r="27" ht="15.75" customHeight="1" s="156">
      <c r="A27" t="inlineStr">
        <is>
          <t>Ticket Tool Video</t>
        </is>
      </c>
      <c r="B27">
        <f>IF(Dashboard!$D$6="All Months",SUMIF(Data!$B$2:$B$200,"Ticket Tool Video",Data!$I$2:$I$200),SUMPRODUCT((Data!$A$2:$A$200=Dashboard!$D$6)*(Data!$B$2:$B$200="Ticket Tool Video")*Data!$I$2:$I$200))</f>
        <v/>
      </c>
    </row>
    <row r="28" ht="15.75" customHeight="1" s="156">
      <c r="A28" t="inlineStr">
        <is>
          <t>Varsity Scripts Writing</t>
        </is>
      </c>
      <c r="B28">
        <f>IF(Dashboard!$D$6="All Months",SUMIF(Data!$B$2:$B$200,"Varsity Scripts Writing",Data!$I$2:$I$200),SUMPRODUCT((Data!$A$2:$A$200=Dashboard!$D$6)*(Data!$B$2:$B$200="Varsity Scripts Writing")*Data!$I$2:$I$200))</f>
        <v/>
      </c>
    </row>
    <row r="29" ht="15.75" customHeight="1" s="156">
      <c r="A29" t="inlineStr">
        <is>
          <t>Varsity Video Shoot</t>
        </is>
      </c>
      <c r="B29">
        <f>IF(Dashboard!$D$6="All Months",SUMIF(Data!$B$2:$B$200,"Varsity Video Shoot",Data!$I$2:$I$200),SUMPRODUCT((Data!$A$2:$A$200=Dashboard!$D$6)*(Data!$B$2:$B$200="Varsity Video Shoot")*Data!$I$2:$I$200))</f>
        <v/>
      </c>
    </row>
    <row r="30" ht="15.75" customHeight="1" s="156">
      <c r="A30" t="inlineStr">
        <is>
          <t>Accop Training</t>
        </is>
      </c>
      <c r="B30">
        <f>IF(Dashboard!$D$6="All Months",SUMIF(Data!$B$2:$B$200,"Accop Training",Data!$I$2:$I$200),SUMPRODUCT((Data!$A$2:$A$200=Dashboard!$D$6)*(Data!$B$2:$B$200="Accop Training")*Data!$I$2:$I$200))</f>
        <v/>
      </c>
    </row>
    <row r="31" ht="15.75" customHeight="1" s="156">
      <c r="A31" t="inlineStr">
        <is>
          <t>NRI Team Training</t>
        </is>
      </c>
      <c r="B31">
        <f>IF(Dashboard!$D$6="All Months",SUMIF(Data!$B$2:$B$200,"NRI Team Training",Data!$I$2:$I$200),SUMPRODUCT((Data!$A$2:$A$200=Dashboard!$D$6)*(Data!$B$2:$B$200="NRI Team Training")*Data!$I$2:$I$200))</f>
        <v/>
      </c>
    </row>
    <row r="32" ht="15.75" customHeight="1" s="156">
      <c r="A32" t="inlineStr">
        <is>
          <t>Content Team Session</t>
        </is>
      </c>
      <c r="B32">
        <f>IF(Dashboard!$D$6="All Months",SUMIF(Data!$B$2:$B$200,"Content Team Session",Data!$I$2:$I$200),SUMPRODUCT((Data!$A$2:$A$200=Dashboard!$D$6)*(Data!$B$2:$B$200="Content Team Session")*Data!$I$2:$I$200))</f>
        <v/>
      </c>
    </row>
    <row r="33" ht="15.75" customHeight="1" s="156">
      <c r="A33" t="inlineStr">
        <is>
          <t>Varsity Team Session</t>
        </is>
      </c>
      <c r="B33">
        <f>IF(Dashboard!$D$6="All Months",SUMIF(Data!$B$2:$B$200,"Varsity Team Session",Data!$I$2:$I$200),SUMPRODUCT((Data!$A$2:$A$200=Dashboard!$D$6)*(Data!$B$2:$B$200="Varsity Team Session")*Data!$I$2:$I$200))</f>
        <v/>
      </c>
    </row>
    <row r="34" ht="15.75" customHeight="1" s="156">
      <c r="A34" t="inlineStr">
        <is>
          <t>Assessments</t>
        </is>
      </c>
      <c r="B34">
        <f>IF(Dashboard!$D$6="All Months",SUMIF(Data!$B$2:$B$200,"Assessments",Data!$I$2:$I$200),SUMPRODUCT((Data!$A$2:$A$200=Dashboard!$D$6)*(Data!$B$2:$B$200="Assessments")*Data!$I$2:$I$200))</f>
        <v/>
      </c>
    </row>
    <row r="35" ht="15.75" customHeight="1" s="156">
      <c r="A35" t="inlineStr">
        <is>
          <t>Training Need Analysis</t>
        </is>
      </c>
      <c r="B35">
        <f>IF(Dashboard!$D$6="All Months",SUMIF(Data!$B$2:$B$200,"Training Need Analysis",Data!$I$2:$I$200),SUMPRODUCT((Data!$A$2:$A$200=Dashboard!$D$6)*(Data!$B$2:$B$200="Training Need Analysis")*Data!$I$2:$I$200))</f>
        <v/>
      </c>
    </row>
    <row r="36" ht="15.75" customHeight="1" s="156">
      <c r="A36" t="inlineStr">
        <is>
          <t>Fresh Hires Training</t>
        </is>
      </c>
      <c r="B36">
        <f>IF(Dashboard!$D$6="All Months",SUMIF(Data!$B$2:$B$200,"Fresh Hires Training",Data!$I$2:$I$200),SUMPRODUCT((Data!$A$2:$A$200=Dashboard!$D$6)*(Data!$B$2:$B$200="Fresh Hires Training")*Data!$I$2:$I$200))</f>
        <v/>
      </c>
    </row>
    <row r="37" ht="15.75" customHeight="1" s="156">
      <c r="A37" t="inlineStr">
        <is>
          <t>Self Assessment Form</t>
        </is>
      </c>
      <c r="B37">
        <f>IF(Dashboard!$D$6="All Months",SUMIF(Data!$B$2:$B$200,"Self Assessment Form",Data!$I$2:$I$200),SUMPRODUCT((Data!$A$2:$A$200=Dashboard!$D$6)*(Data!$B$2:$B$200="Self Assessment Form")*Data!$I$2:$I$200))</f>
        <v/>
      </c>
    </row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Team Refresher</t>
        </is>
      </c>
      <c r="C7" s="193" t="inlineStr">
        <is>
          <t>ACOP (Online Team)</t>
        </is>
      </c>
      <c r="D7" s="193" t="inlineStr">
        <is>
          <t>10-Dec</t>
        </is>
      </c>
      <c r="E7" s="193" t="inlineStr">
        <is>
          <t>23-Dec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Kite mobile/web &amp; order types</t>
        </is>
      </c>
      <c r="I7" s="194" t="n">
        <v>16</v>
      </c>
    </row>
    <row r="8" ht="21.75" customHeight="1" s="156">
      <c r="A8" s="192" t="n">
        <v>2</v>
      </c>
      <c r="B8" s="193" t="inlineStr">
        <is>
          <t>ACOP Team Refresher</t>
        </is>
      </c>
      <c r="C8" s="193" t="inlineStr">
        <is>
          <t>ACOP (Online Team)</t>
        </is>
      </c>
      <c r="D8" s="193" t="inlineStr">
        <is>
          <t>10-Dec</t>
        </is>
      </c>
      <c r="E8" s="193" t="inlineStr">
        <is>
          <t>19-Dec</t>
        </is>
      </c>
      <c r="F8" s="193" t="inlineStr">
        <is>
          <t>Gaurav Kumar</t>
        </is>
      </c>
      <c r="G8" s="193" t="inlineStr">
        <is>
          <t>Online</t>
        </is>
      </c>
      <c r="H8" s="193" t="inlineStr">
        <is>
          <t>Kite mobile/web &amp; order types</t>
        </is>
      </c>
      <c r="I8" s="194" t="n">
        <v>16</v>
      </c>
    </row>
    <row r="9" ht="21.75" customHeight="1" s="156">
      <c r="A9" s="195" t="n">
        <v>3</v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8-Dec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 for Support (MCP)</t>
        </is>
      </c>
      <c r="I9" s="197" t="n">
        <v>52</v>
      </c>
    </row>
    <row r="10" ht="21.75" customHeight="1" s="156">
      <c r="A10" s="195" t="n">
        <v>4</v>
      </c>
      <c r="B10" s="196" t="inlineStr">
        <is>
          <t>Project Maven</t>
        </is>
      </c>
      <c r="C10" s="196" t="inlineStr">
        <is>
          <t>MCP (Project Maven)</t>
        </is>
      </c>
      <c r="D10" s="196" t="inlineStr">
        <is>
          <t>8-Dec</t>
        </is>
      </c>
      <c r="E10" s="196" t="inlineStr">
        <is>
          <t>On going</t>
        </is>
      </c>
      <c r="F10" s="196" t="inlineStr">
        <is>
          <t>Gaurav Kumar</t>
        </is>
      </c>
      <c r="G10" s="196" t="inlineStr">
        <is>
          <t>Offline</t>
        </is>
      </c>
      <c r="H10" s="196" t="inlineStr">
        <is>
          <t>Project Maven for Support (MCP)</t>
        </is>
      </c>
      <c r="I10" s="197" t="n">
        <v>45</v>
      </c>
    </row>
    <row r="11" ht="21.75" customHeight="1" s="156">
      <c r="A11" s="192" t="n">
        <v>5</v>
      </c>
      <c r="B11" s="193" t="inlineStr">
        <is>
          <t>Webinar</t>
        </is>
      </c>
      <c r="C11" s="193" t="inlineStr">
        <is>
          <t>Support Team</t>
        </is>
      </c>
      <c r="D11" s="193" t="inlineStr">
        <is>
          <t>19-Dec</t>
        </is>
      </c>
      <c r="E11" s="193" t="inlineStr">
        <is>
          <t>19-Dec</t>
        </is>
      </c>
      <c r="F11" s="193" t="inlineStr">
        <is>
          <t>Gaurav Kumar / Raju Vernekar</t>
        </is>
      </c>
      <c r="G11" s="193" t="inlineStr">
        <is>
          <t>Online</t>
        </is>
      </c>
      <c r="H11" s="193" t="inlineStr">
        <is>
          <t>Delta Violation</t>
        </is>
      </c>
      <c r="I11" s="194" t="n">
        <v>3</v>
      </c>
    </row>
    <row r="12" ht="21.75" customHeight="1" s="156">
      <c r="A12" s="192" t="n">
        <v>6</v>
      </c>
      <c r="B12" s="193" t="inlineStr">
        <is>
          <t>Session</t>
        </is>
      </c>
      <c r="C12" s="193" t="inlineStr">
        <is>
          <t>Support Manager &amp; AVPs</t>
        </is>
      </c>
      <c r="D12" s="193" t="inlineStr">
        <is>
          <t>11-Dec</t>
        </is>
      </c>
      <c r="E12" s="193" t="inlineStr">
        <is>
          <t>11-Dec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Delta Violation</t>
        </is>
      </c>
      <c r="I12" s="194" t="n">
        <v>3</v>
      </c>
    </row>
    <row r="13" ht="27.75" customHeight="1" s="156">
      <c r="A13" s="198" t="inlineStr">
        <is>
          <t>TOTAL MAN HOURS THIS MONTH</t>
        </is>
      </c>
      <c r="B13" s="198" t="n"/>
      <c r="C13" s="198" t="n"/>
      <c r="D13" s="198" t="n"/>
      <c r="E13" s="198" t="n"/>
      <c r="F13" s="198" t="n"/>
      <c r="G13" s="198" t="n"/>
      <c r="H13" s="198" t="n"/>
      <c r="I13" s="199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0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Refresher</t>
        </is>
      </c>
      <c r="C7" s="193" t="inlineStr">
        <is>
          <t>Sherin's Team</t>
        </is>
      </c>
      <c r="D7" s="193" t="inlineStr">
        <is>
          <t>13-Jan</t>
        </is>
      </c>
      <c r="E7" s="193" t="inlineStr">
        <is>
          <t>13-Jan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Basics of support</t>
        </is>
      </c>
      <c r="I7" s="194" t="n">
        <v>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MCP (Project Maven)</t>
        </is>
      </c>
      <c r="D8" s="196" t="inlineStr">
        <is>
          <t>1-Jan</t>
        </is>
      </c>
      <c r="E8" s="196" t="inlineStr">
        <is>
          <t>On going</t>
        </is>
      </c>
      <c r="F8" s="196" t="inlineStr">
        <is>
          <t>Raju Vernekar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156</v>
      </c>
    </row>
    <row r="9" ht="21.75" customHeight="1" s="156">
      <c r="A9" s="192" t="n">
        <v>3</v>
      </c>
      <c r="B9" s="193" t="inlineStr">
        <is>
          <t>Assessments</t>
        </is>
      </c>
      <c r="C9" s="193" t="inlineStr">
        <is>
          <t>Communication Assessment Tool</t>
        </is>
      </c>
      <c r="D9" s="193" t="inlineStr">
        <is>
          <t>22-Jan</t>
        </is>
      </c>
      <c r="E9" s="193" t="inlineStr">
        <is>
          <t>22-Jan</t>
        </is>
      </c>
      <c r="F9" s="193" t="inlineStr">
        <is>
          <t>Raju Vernekar</t>
        </is>
      </c>
      <c r="G9" s="193" t="inlineStr">
        <is>
          <t>Online</t>
        </is>
      </c>
      <c r="H9" s="193" t="inlineStr">
        <is>
          <t>Communication Assessment</t>
        </is>
      </c>
      <c r="I9" s="194" t="n">
        <v>1</v>
      </c>
    </row>
    <row r="10" ht="21.75" customHeight="1" s="156">
      <c r="A10" s="192" t="n">
        <v>4</v>
      </c>
      <c r="B10" s="193" t="inlineStr">
        <is>
          <t>Refresher</t>
        </is>
      </c>
      <c r="C10" s="193" t="inlineStr">
        <is>
          <t>Sherin's Team</t>
        </is>
      </c>
      <c r="D10" s="193" t="inlineStr">
        <is>
          <t>12-Jan</t>
        </is>
      </c>
      <c r="E10" s="193" t="inlineStr">
        <is>
          <t>20-Jan</t>
        </is>
      </c>
      <c r="F10" s="193" t="inlineStr">
        <is>
          <t>Gaurav Kumar</t>
        </is>
      </c>
      <c r="G10" s="193" t="inlineStr">
        <is>
          <t>Online</t>
        </is>
      </c>
      <c r="H10" s="193" t="inlineStr">
        <is>
          <t>MTF, Hedge, Basket, Corp actions, MF</t>
        </is>
      </c>
      <c r="I10" s="194" t="n">
        <v>15</v>
      </c>
    </row>
    <row r="11" ht="21.75" customHeight="1" s="156">
      <c r="A11" s="195" t="n">
        <v>5</v>
      </c>
      <c r="B11" s="196" t="inlineStr">
        <is>
          <t>Project Maven</t>
        </is>
      </c>
      <c r="C11" s="196" t="inlineStr">
        <is>
          <t>MCP (Project Maven)</t>
        </is>
      </c>
      <c r="D11" s="196" t="inlineStr">
        <is>
          <t>1-Jan</t>
        </is>
      </c>
      <c r="E11" s="196" t="inlineStr">
        <is>
          <t>On going</t>
        </is>
      </c>
      <c r="F11" s="196" t="inlineStr">
        <is>
          <t>Gaurav Kumar</t>
        </is>
      </c>
      <c r="G11" s="196" t="inlineStr">
        <is>
          <t>Offline</t>
        </is>
      </c>
      <c r="H11" s="196" t="inlineStr">
        <is>
          <t>Project Maven</t>
        </is>
      </c>
      <c r="I11" s="197" t="n">
        <v>140</v>
      </c>
    </row>
    <row r="12" ht="21.75" customHeight="1" s="156">
      <c r="A12" s="192" t="n">
        <v>6</v>
      </c>
      <c r="B12" s="193" t="inlineStr">
        <is>
          <t>Refresher for Entire Support</t>
        </is>
      </c>
      <c r="C12" s="193" t="inlineStr">
        <is>
          <t>Support Team</t>
        </is>
      </c>
      <c r="D12" s="193" t="inlineStr">
        <is>
          <t>28-Jan</t>
        </is>
      </c>
      <c r="E12" s="193" t="inlineStr">
        <is>
          <t>On going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Tijori Integration with Kite &amp; Console</t>
        </is>
      </c>
      <c r="I12" s="194" t="n">
        <v>65</v>
      </c>
    </row>
    <row r="13" ht="21.75" customHeight="1" s="156">
      <c r="A13" s="192" t="n">
        <v>7</v>
      </c>
      <c r="B13" s="193" t="inlineStr">
        <is>
          <t>Refresher for Evening Support</t>
        </is>
      </c>
      <c r="C13" s="193" t="inlineStr">
        <is>
          <t>MCX Team</t>
        </is>
      </c>
      <c r="D13" s="193" t="inlineStr">
        <is>
          <t>29-Jan</t>
        </is>
      </c>
      <c r="E13" s="193" t="inlineStr">
        <is>
          <t>On going</t>
        </is>
      </c>
      <c r="F13" s="193" t="inlineStr">
        <is>
          <t>Gaurav Kumar</t>
        </is>
      </c>
      <c r="G13" s="193" t="inlineStr">
        <is>
          <t>Online</t>
        </is>
      </c>
      <c r="H13" s="193" t="inlineStr">
        <is>
          <t>Tijori and MCX Devolvement</t>
        </is>
      </c>
      <c r="I13" s="194" t="n">
        <v>11</v>
      </c>
    </row>
    <row r="14" ht="21.75" customHeight="1" s="156">
      <c r="A14" s="192" t="n">
        <v>8</v>
      </c>
      <c r="B14" s="193" t="inlineStr">
        <is>
          <t>Content Team Session</t>
        </is>
      </c>
      <c r="C14" s="193" t="inlineStr">
        <is>
          <t>Stock tips</t>
        </is>
      </c>
      <c r="D14" s="193" t="inlineStr">
        <is>
          <t>28-Jan</t>
        </is>
      </c>
      <c r="E14" s="193" t="inlineStr">
        <is>
          <t>28-Jan</t>
        </is>
      </c>
      <c r="F14" s="193" t="inlineStr">
        <is>
          <t>Gaurav Kumar</t>
        </is>
      </c>
      <c r="G14" s="193" t="inlineStr">
        <is>
          <t>Online</t>
        </is>
      </c>
      <c r="H14" s="193" t="inlineStr">
        <is>
          <t>Session for Stock tips</t>
        </is>
      </c>
      <c r="I14" s="194" t="n">
        <v>1.5</v>
      </c>
    </row>
    <row r="15" ht="21.75" customHeight="1" s="156">
      <c r="A15" s="192" t="n">
        <v>9</v>
      </c>
      <c r="B15" s="193" t="inlineStr">
        <is>
          <t>Support Team OJT</t>
        </is>
      </c>
      <c r="C15" s="193" t="inlineStr">
        <is>
          <t>OJT for SM (Support)</t>
        </is>
      </c>
      <c r="D15" s="193" t="inlineStr">
        <is>
          <t>27-Dec</t>
        </is>
      </c>
      <c r="E15" s="193" t="inlineStr">
        <is>
          <t>31-Jan</t>
        </is>
      </c>
      <c r="F15" s="193" t="inlineStr">
        <is>
          <t>Gaurav Kumar / Raju Vernekar</t>
        </is>
      </c>
      <c r="G15" s="193" t="inlineStr">
        <is>
          <t>Online</t>
        </is>
      </c>
      <c r="H15" s="193" t="inlineStr">
        <is>
          <t>Support On Job Training</t>
        </is>
      </c>
      <c r="I15" s="194" t="n">
        <v>50</v>
      </c>
    </row>
    <row r="16" ht="21.75" customHeight="1" s="156">
      <c r="A16" s="192" t="n">
        <v>10</v>
      </c>
      <c r="B16" s="193" t="inlineStr">
        <is>
          <t>Assessment</t>
        </is>
      </c>
      <c r="C16" s="193" t="inlineStr">
        <is>
          <t>Sherin's Team</t>
        </is>
      </c>
      <c r="D16" s="193" t="inlineStr">
        <is>
          <t>23-Jan</t>
        </is>
      </c>
      <c r="E16" s="193" t="inlineStr">
        <is>
          <t>23-Jan</t>
        </is>
      </c>
      <c r="F16" s="193" t="inlineStr">
        <is>
          <t>Gaurav Kumar</t>
        </is>
      </c>
      <c r="G16" s="193" t="inlineStr">
        <is>
          <t>Online</t>
        </is>
      </c>
      <c r="H16" s="193" t="inlineStr">
        <is>
          <t>MTF, Hedge, Basket, Corp actions, MF</t>
        </is>
      </c>
      <c r="I16" s="194" t="n">
        <v>1.5</v>
      </c>
    </row>
    <row r="17" ht="27.75" customHeight="1" s="156">
      <c r="A17" s="198" t="inlineStr">
        <is>
          <t>TOTAL MAN HOURS THIS MONTH</t>
        </is>
      </c>
      <c r="B17" s="198" t="n"/>
      <c r="C17" s="198" t="n"/>
      <c r="D17" s="198" t="n"/>
      <c r="E17" s="198" t="n"/>
      <c r="F17" s="198" t="n"/>
      <c r="G17" s="198" t="n"/>
      <c r="H17" s="198" t="n"/>
      <c r="I17" s="199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3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Project Maven</t>
        </is>
      </c>
      <c r="C7" s="196" t="inlineStr">
        <is>
          <t>Project Maven</t>
        </is>
      </c>
      <c r="D7" s="196" t="inlineStr">
        <is>
          <t>1-Feb</t>
        </is>
      </c>
      <c r="E7" s="196" t="inlineStr">
        <is>
          <t>On going</t>
        </is>
      </c>
      <c r="F7" s="196" t="inlineStr">
        <is>
          <t>Raju Vernekar</t>
        </is>
      </c>
      <c r="G7" s="196" t="inlineStr">
        <is>
          <t>Offline</t>
        </is>
      </c>
      <c r="H7" s="196" t="inlineStr">
        <is>
          <t>Project Maven</t>
        </is>
      </c>
      <c r="I7" s="197" t="n">
        <v>104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Project Maven</t>
        </is>
      </c>
      <c r="D8" s="196" t="inlineStr">
        <is>
          <t>1-Feb</t>
        </is>
      </c>
      <c r="E8" s="196" t="inlineStr">
        <is>
          <t>On going</t>
        </is>
      </c>
      <c r="F8" s="196" t="inlineStr">
        <is>
          <t>Gaurav Kumar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102</v>
      </c>
    </row>
    <row r="9" ht="21.75" customHeight="1" s="156">
      <c r="A9" s="192" t="n">
        <v>3</v>
      </c>
      <c r="B9" s="193" t="inlineStr">
        <is>
          <t>Refresher for Entire Support</t>
        </is>
      </c>
      <c r="C9" s="193" t="inlineStr">
        <is>
          <t>Customer Support</t>
        </is>
      </c>
      <c r="D9" s="193" t="inlineStr">
        <is>
          <t>27-Jan</t>
        </is>
      </c>
      <c r="E9" s="193" t="inlineStr">
        <is>
          <t>On going</t>
        </is>
      </c>
      <c r="F9" s="193" t="inlineStr">
        <is>
          <t>Gaurav Kumar</t>
        </is>
      </c>
      <c r="G9" s="193" t="inlineStr">
        <is>
          <t>Online</t>
        </is>
      </c>
      <c r="H9" s="193" t="inlineStr">
        <is>
          <t>Tijori, MCX Devolvement, SLB</t>
        </is>
      </c>
      <c r="I9" s="194" t="n">
        <v>36</v>
      </c>
    </row>
    <row r="10" ht="21.75" customHeight="1" s="156">
      <c r="A10" s="192" t="n">
        <v>4</v>
      </c>
      <c r="B10" s="193" t="inlineStr">
        <is>
          <t>Refresher for Support</t>
        </is>
      </c>
      <c r="C10" s="193" t="inlineStr">
        <is>
          <t>Customer Support</t>
        </is>
      </c>
      <c r="D10" s="193" t="inlineStr">
        <is>
          <t>11-Feb</t>
        </is>
      </c>
      <c r="E10" s="193" t="inlineStr">
        <is>
          <t>Completed</t>
        </is>
      </c>
      <c r="F10" s="193" t="inlineStr">
        <is>
          <t>Raju Vernekar</t>
        </is>
      </c>
      <c r="G10" s="193" t="inlineStr">
        <is>
          <t>Online</t>
        </is>
      </c>
      <c r="H10" s="193" t="inlineStr">
        <is>
          <t>MCX Devolvement</t>
        </is>
      </c>
      <c r="I10" s="194" t="n">
        <v>8</v>
      </c>
    </row>
    <row r="11" ht="27.75" customHeight="1" s="156">
      <c r="A11" s="198" t="inlineStr">
        <is>
          <t>TOTAL MAN HOURS THIS MONTH</t>
        </is>
      </c>
      <c r="B11" s="198" t="n"/>
      <c r="C11" s="198" t="n"/>
      <c r="D11" s="198" t="n"/>
      <c r="E11" s="198" t="n"/>
      <c r="F11" s="198" t="n"/>
      <c r="G11" s="198" t="n"/>
      <c r="H11" s="198" t="n"/>
      <c r="I11" s="199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6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Assessment</t>
        </is>
      </c>
      <c r="C7" s="196" t="inlineStr">
        <is>
          <t>Assessment - Communicate 360</t>
        </is>
      </c>
      <c r="D7" s="196" t="inlineStr">
        <is>
          <t>1-Mar</t>
        </is>
      </c>
      <c r="E7" s="196" t="inlineStr">
        <is>
          <t>On going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6</v>
      </c>
    </row>
    <row r="8" ht="21.75" customHeight="1" s="156">
      <c r="A8" s="195" t="n">
        <v>2</v>
      </c>
      <c r="B8" s="196" t="inlineStr">
        <is>
          <t>Assessment</t>
        </is>
      </c>
      <c r="C8" s="196" t="inlineStr">
        <is>
          <t>Assessment tool - LMS</t>
        </is>
      </c>
      <c r="D8" s="196" t="inlineStr">
        <is>
          <t>1-Mar</t>
        </is>
      </c>
      <c r="E8" s="196" t="inlineStr">
        <is>
          <t>12-Mar</t>
        </is>
      </c>
      <c r="F8" s="196" t="inlineStr">
        <is>
          <t>Raju Vernekar / Girish A / Harish Bhat</t>
        </is>
      </c>
      <c r="G8" s="196" t="inlineStr">
        <is>
          <t>Offline</t>
        </is>
      </c>
      <c r="H8" s="196" t="inlineStr">
        <is>
          <t>Assessment tool - LMS</t>
        </is>
      </c>
      <c r="I8" s="197" t="n">
        <v>2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Tool building - C360</t>
        </is>
      </c>
      <c r="D9" s="196" t="inlineStr">
        <is>
          <t>12-Mar</t>
        </is>
      </c>
      <c r="E9" s="196" t="inlineStr">
        <is>
          <t>12-Mar</t>
        </is>
      </c>
      <c r="F9" s="196" t="inlineStr">
        <is>
          <t>Raju Vernekar / Girish A / Harish Bhat</t>
        </is>
      </c>
      <c r="G9" s="196" t="inlineStr">
        <is>
          <t>Offline</t>
        </is>
      </c>
      <c r="H9" s="196" t="inlineStr">
        <is>
          <t>Tool building - C360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1 - C360 Training</t>
        </is>
      </c>
      <c r="D10" s="196" t="inlineStr">
        <is>
          <t>12-Mar</t>
        </is>
      </c>
      <c r="E10" s="196" t="inlineStr">
        <is>
          <t>On going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Batch 1 - C360 Training</t>
        </is>
      </c>
      <c r="I10" s="197" t="n">
        <v>8</v>
      </c>
    </row>
    <row r="11" ht="21.75" customHeight="1" s="156">
      <c r="A11" s="195" t="n">
        <v>5</v>
      </c>
      <c r="B11" s="196" t="inlineStr">
        <is>
          <t>Assessment</t>
        </is>
      </c>
      <c r="C11" s="196" t="inlineStr">
        <is>
          <t>Correction of Assessment - C360</t>
        </is>
      </c>
      <c r="D11" s="196" t="inlineStr">
        <is>
          <t>12-Mar</t>
        </is>
      </c>
      <c r="E11" s="196" t="inlineStr">
        <is>
          <t>On going</t>
        </is>
      </c>
      <c r="F11" s="196" t="inlineStr">
        <is>
          <t>Freeda Reshma Dsouza</t>
        </is>
      </c>
      <c r="G11" s="196" t="inlineStr">
        <is>
          <t>Offline</t>
        </is>
      </c>
      <c r="H11" s="196" t="inlineStr">
        <is>
          <t>Correction of Assessment - C360</t>
        </is>
      </c>
      <c r="I11" s="197" t="n">
        <v>5</v>
      </c>
    </row>
    <row r="12" ht="21.75" customHeight="1" s="156">
      <c r="A12" s="195" t="n">
        <v>6</v>
      </c>
      <c r="B12" s="196" t="inlineStr">
        <is>
          <t>Support Training</t>
        </is>
      </c>
      <c r="C12" s="196" t="inlineStr">
        <is>
          <t>Report Generation - C360</t>
        </is>
      </c>
      <c r="D12" s="196" t="inlineStr">
        <is>
          <t>12-Mar</t>
        </is>
      </c>
      <c r="E12" s="196" t="inlineStr">
        <is>
          <t>12-Mar</t>
        </is>
      </c>
      <c r="F12" s="196" t="inlineStr">
        <is>
          <t>Raju Vernekar / Girish A / Harish Bhat</t>
        </is>
      </c>
      <c r="G12" s="196" t="inlineStr">
        <is>
          <t>Offline</t>
        </is>
      </c>
      <c r="H12" s="196" t="inlineStr">
        <is>
          <t>Report Generation - C360</t>
        </is>
      </c>
      <c r="I12" s="197" t="n">
        <v>10</v>
      </c>
    </row>
    <row r="13" ht="21.75" customHeight="1" s="156">
      <c r="A13" s="195" t="n">
        <v>7</v>
      </c>
      <c r="B13" s="196" t="inlineStr">
        <is>
          <t>Project Maven</t>
        </is>
      </c>
      <c r="C13" s="196" t="inlineStr">
        <is>
          <t>Project Maven</t>
        </is>
      </c>
      <c r="D13" s="196" t="inlineStr">
        <is>
          <t>1-Mar</t>
        </is>
      </c>
      <c r="E13" s="196" t="inlineStr">
        <is>
          <t>On going</t>
        </is>
      </c>
      <c r="F13" s="196" t="inlineStr">
        <is>
          <t>Raju Vernekar</t>
        </is>
      </c>
      <c r="G13" s="196" t="inlineStr">
        <is>
          <t>Offline</t>
        </is>
      </c>
      <c r="H13" s="196" t="inlineStr">
        <is>
          <t>Project Maven</t>
        </is>
      </c>
      <c r="I13" s="197" t="n">
        <v>104</v>
      </c>
    </row>
    <row r="14" ht="21.75" customHeight="1" s="156">
      <c r="A14" s="195" t="n">
        <v>8</v>
      </c>
      <c r="B14" s="196" t="inlineStr">
        <is>
          <t>Project Maven</t>
        </is>
      </c>
      <c r="C14" s="196" t="inlineStr">
        <is>
          <t>Project Maven</t>
        </is>
      </c>
      <c r="D14" s="196" t="inlineStr">
        <is>
          <t>1-Mar</t>
        </is>
      </c>
      <c r="E14" s="196" t="inlineStr">
        <is>
          <t>On going</t>
        </is>
      </c>
      <c r="F14" s="196" t="inlineStr">
        <is>
          <t>Gaurav Kumar</t>
        </is>
      </c>
      <c r="G14" s="196" t="inlineStr">
        <is>
          <t>Offline</t>
        </is>
      </c>
      <c r="H14" s="196" t="inlineStr">
        <is>
          <t>Project Maven</t>
        </is>
      </c>
      <c r="I14" s="197" t="n">
        <v>102</v>
      </c>
    </row>
    <row r="15" ht="21.75" customHeight="1" s="156">
      <c r="A15" s="192" t="n">
        <v>9</v>
      </c>
      <c r="B15" s="193" t="inlineStr">
        <is>
          <t>Varsity Team Session</t>
        </is>
      </c>
      <c r="C15" s="193" t="inlineStr">
        <is>
          <t>Stock tips</t>
        </is>
      </c>
      <c r="D15" s="193" t="inlineStr">
        <is>
          <t>27-Mar</t>
        </is>
      </c>
      <c r="E15" s="193" t="inlineStr">
        <is>
          <t>27-Mar</t>
        </is>
      </c>
      <c r="F15" s="193" t="inlineStr">
        <is>
          <t>Gaurav Kumar</t>
        </is>
      </c>
      <c r="G15" s="193" t="inlineStr">
        <is>
          <t>Online</t>
        </is>
      </c>
      <c r="H15" s="193" t="inlineStr">
        <is>
          <t>New hire training</t>
        </is>
      </c>
      <c r="I15" s="194" t="n">
        <v>1.5</v>
      </c>
    </row>
    <row r="16" ht="27.75" customHeight="1" s="156">
      <c r="A16" s="198" t="inlineStr">
        <is>
          <t>TOTAL MAN HOURS THIS MONTH</t>
        </is>
      </c>
      <c r="B16" s="198" t="n"/>
      <c r="C16" s="198" t="n"/>
      <c r="D16" s="198" t="n"/>
      <c r="E16" s="198" t="n"/>
      <c r="F16" s="198" t="n"/>
      <c r="G16" s="198" t="n"/>
      <c r="H16" s="198" t="n"/>
      <c r="I16" s="199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Support Training</t>
        </is>
      </c>
      <c r="C7" s="196" t="inlineStr">
        <is>
          <t>Batch 2 - C360 Training</t>
        </is>
      </c>
      <c r="D7" s="196" t="inlineStr">
        <is>
          <t>7-Apr</t>
        </is>
      </c>
      <c r="E7" s="196" t="inlineStr">
        <is>
          <t>10-Apr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20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Batch 3 - C360 Training</t>
        </is>
      </c>
      <c r="D8" s="196" t="inlineStr">
        <is>
          <t>21-Apr</t>
        </is>
      </c>
      <c r="E8" s="196" t="inlineStr">
        <is>
          <t>24-Apr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Assessment - Communicate 360</t>
        </is>
      </c>
      <c r="I8" s="197" t="n">
        <v>20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Batch 2 - C360 (Girish)</t>
        </is>
      </c>
      <c r="D9" s="196" t="inlineStr">
        <is>
          <t>21-Apr</t>
        </is>
      </c>
      <c r="E9" s="196" t="inlineStr">
        <is>
          <t>24-Apr</t>
        </is>
      </c>
      <c r="F9" s="196" t="inlineStr">
        <is>
          <t>Girish A</t>
        </is>
      </c>
      <c r="G9" s="196" t="inlineStr">
        <is>
          <t>Offline</t>
        </is>
      </c>
      <c r="H9" s="196" t="inlineStr">
        <is>
          <t>Assessment - Communicate 360</t>
        </is>
      </c>
      <c r="I9" s="197" t="n">
        <v>9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- C360 (Harish)</t>
        </is>
      </c>
      <c r="D10" s="196" t="inlineStr">
        <is>
          <t>21-Apr</t>
        </is>
      </c>
      <c r="E10" s="196" t="inlineStr">
        <is>
          <t>24-Apr</t>
        </is>
      </c>
      <c r="F10" s="196" t="inlineStr">
        <is>
          <t>Harish Bhat</t>
        </is>
      </c>
      <c r="G10" s="196" t="inlineStr">
        <is>
          <t>Offline</t>
        </is>
      </c>
      <c r="H10" s="196" t="inlineStr">
        <is>
          <t>Assessment - Communicate 360</t>
        </is>
      </c>
      <c r="I10" s="197" t="n">
        <v>9</v>
      </c>
    </row>
    <row r="11" ht="21.75" customHeight="1" s="156">
      <c r="A11" s="195" t="n">
        <v>5</v>
      </c>
      <c r="B11" s="196" t="inlineStr">
        <is>
          <t>Support Training</t>
        </is>
      </c>
      <c r="C11" s="196" t="inlineStr">
        <is>
          <t>Tool Building - C360 Modifications</t>
        </is>
      </c>
      <c r="D11" s="196" t="inlineStr">
        <is>
          <t>13-Apr</t>
        </is>
      </c>
      <c r="E11" s="196" t="inlineStr">
        <is>
          <t>30-Apr</t>
        </is>
      </c>
      <c r="F11" s="196" t="inlineStr">
        <is>
          <t>Raju Vernekar / Girish A / Harish Bhat</t>
        </is>
      </c>
      <c r="G11" s="196" t="inlineStr">
        <is>
          <t>Offline</t>
        </is>
      </c>
      <c r="H11" s="196" t="inlineStr">
        <is>
          <t>Tool Building - C360 Modifications</t>
        </is>
      </c>
      <c r="I11" s="197" t="n">
        <v>15</v>
      </c>
    </row>
    <row r="12" ht="21.75" customHeight="1" s="156">
      <c r="A12" s="195" t="n">
        <v>6</v>
      </c>
      <c r="B12" s="196" t="inlineStr">
        <is>
          <t>Assessment</t>
        </is>
      </c>
      <c r="C12" s="196" t="inlineStr">
        <is>
          <t>Batch 1 - Correction C360</t>
        </is>
      </c>
      <c r="D12" s="196" t="inlineStr">
        <is>
          <t>11-Apr</t>
        </is>
      </c>
      <c r="E12" s="196" t="inlineStr">
        <is>
          <t>15-Apr</t>
        </is>
      </c>
      <c r="F12" s="196" t="inlineStr">
        <is>
          <t>Freeda Reshma Dsouza / Girish A / Harish Bhat</t>
        </is>
      </c>
      <c r="G12" s="196" t="inlineStr">
        <is>
          <t>Offline</t>
        </is>
      </c>
      <c r="H12" s="196" t="inlineStr">
        <is>
          <t>Correction of Assessment - C360</t>
        </is>
      </c>
      <c r="I12" s="197" t="n">
        <v>30</v>
      </c>
    </row>
    <row r="13" ht="21.75" customHeight="1" s="156">
      <c r="A13" s="195" t="n">
        <v>7</v>
      </c>
      <c r="B13" s="196" t="inlineStr">
        <is>
          <t>Assessment</t>
        </is>
      </c>
      <c r="C13" s="196" t="inlineStr">
        <is>
          <t>Batch 2 - Correction C360</t>
        </is>
      </c>
      <c r="D13" s="196" t="inlineStr">
        <is>
          <t>27-Apr</t>
        </is>
      </c>
      <c r="E13" s="196" t="inlineStr">
        <is>
          <t>30-Apr</t>
        </is>
      </c>
      <c r="F13" s="196" t="inlineStr">
        <is>
          <t>Girish A / Harish Bhat</t>
        </is>
      </c>
      <c r="G13" s="196" t="inlineStr">
        <is>
          <t>Offline</t>
        </is>
      </c>
      <c r="H13" s="196" t="inlineStr">
        <is>
          <t>Correction of Assessment - C360</t>
        </is>
      </c>
      <c r="I13" s="197" t="n">
        <v>15</v>
      </c>
    </row>
    <row r="14" ht="21.75" customHeight="1" s="156">
      <c r="A14" s="195" t="n">
        <v>8</v>
      </c>
      <c r="B14" s="196" t="inlineStr">
        <is>
          <t>Support Training</t>
        </is>
      </c>
      <c r="C14" s="196" t="inlineStr">
        <is>
          <t>Batch 1&amp;2 Report Generation</t>
        </is>
      </c>
      <c r="D14" s="196" t="inlineStr">
        <is>
          <t>21-Apr</t>
        </is>
      </c>
      <c r="E14" s="196" t="inlineStr">
        <is>
          <t>21-Apr</t>
        </is>
      </c>
      <c r="F14" s="196" t="inlineStr">
        <is>
          <t>Harish Bhat</t>
        </is>
      </c>
      <c r="G14" s="196" t="inlineStr">
        <is>
          <t>Offline</t>
        </is>
      </c>
      <c r="H14" s="196" t="inlineStr">
        <is>
          <t>Report Generation - C360</t>
        </is>
      </c>
      <c r="I14" s="197" t="n">
        <v>8</v>
      </c>
    </row>
    <row r="15" ht="21.75" customHeight="1" s="156">
      <c r="A15" s="192" t="n">
        <v>9</v>
      </c>
      <c r="B15" s="193" t="inlineStr">
        <is>
          <t>Accop Training</t>
        </is>
      </c>
      <c r="C15" s="193" t="inlineStr">
        <is>
          <t>Session on AML &amp; Stock tips</t>
        </is>
      </c>
      <c r="D15" s="193" t="inlineStr">
        <is>
          <t>23-Apr</t>
        </is>
      </c>
      <c r="E15" s="193" t="inlineStr">
        <is>
          <t>23-Apr</t>
        </is>
      </c>
      <c r="F15" s="193" t="inlineStr">
        <is>
          <t>Girish A</t>
        </is>
      </c>
      <c r="G15" s="193" t="inlineStr">
        <is>
          <t>Online</t>
        </is>
      </c>
      <c r="H15" s="193" t="inlineStr">
        <is>
          <t>AML &amp; Stock tips</t>
        </is>
      </c>
      <c r="I15" s="194" t="n">
        <v>1.75</v>
      </c>
    </row>
    <row r="16" ht="21.75" customHeight="1" s="156">
      <c r="A16" s="192" t="n">
        <v>10</v>
      </c>
      <c r="B16" s="193" t="inlineStr">
        <is>
          <t>NRI Team Training</t>
        </is>
      </c>
      <c r="C16" s="193" t="inlineStr">
        <is>
          <t>Session on AML &amp; Stock tips</t>
        </is>
      </c>
      <c r="D16" s="193" t="inlineStr">
        <is>
          <t>27-Apr</t>
        </is>
      </c>
      <c r="E16" s="193" t="inlineStr">
        <is>
          <t>27-Apr</t>
        </is>
      </c>
      <c r="F16" s="193" t="inlineStr">
        <is>
          <t>Harish Bhat</t>
        </is>
      </c>
      <c r="G16" s="193" t="inlineStr">
        <is>
          <t>Online</t>
        </is>
      </c>
      <c r="H16" s="193" t="inlineStr">
        <is>
          <t>AML &amp; Stock tips</t>
        </is>
      </c>
      <c r="I16" s="194" t="n">
        <v>1.75</v>
      </c>
    </row>
    <row r="17" ht="21.75" customHeight="1" s="156">
      <c r="A17" s="192" t="n">
        <v>11</v>
      </c>
      <c r="B17" s="193" t="inlineStr">
        <is>
          <t>Fresh Hires Training</t>
        </is>
      </c>
      <c r="C17" s="193" t="inlineStr">
        <is>
          <t>Session on AML &amp; Stock tips</t>
        </is>
      </c>
      <c r="D17" s="193" t="inlineStr">
        <is>
          <t>29-Apr</t>
        </is>
      </c>
      <c r="E17" s="193" t="inlineStr">
        <is>
          <t>29-Apr</t>
        </is>
      </c>
      <c r="F17" s="193" t="inlineStr">
        <is>
          <t>Girish A</t>
        </is>
      </c>
      <c r="G17" s="193" t="inlineStr">
        <is>
          <t>Online</t>
        </is>
      </c>
      <c r="H17" s="193" t="inlineStr">
        <is>
          <t>AML &amp; Stock tips</t>
        </is>
      </c>
      <c r="I17" s="194" t="n">
        <v>0.75</v>
      </c>
    </row>
    <row r="18" ht="21.75" customHeight="1" s="156">
      <c r="A18" s="192" t="n">
        <v>12</v>
      </c>
      <c r="B18" s="193" t="inlineStr">
        <is>
          <t>Training Need Analysis</t>
        </is>
      </c>
      <c r="C18" s="193" t="inlineStr">
        <is>
          <t>Understanding requirements from CS</t>
        </is>
      </c>
      <c r="D18" s="193" t="inlineStr">
        <is>
          <t>16-Apr</t>
        </is>
      </c>
      <c r="E18" s="193" t="inlineStr">
        <is>
          <t>16-Apr</t>
        </is>
      </c>
      <c r="F18" s="193" t="inlineStr">
        <is>
          <t>Freeda Reshma Dsouza</t>
        </is>
      </c>
      <c r="G18" s="193" t="inlineStr">
        <is>
          <t>Online</t>
        </is>
      </c>
      <c r="H18" s="193" t="inlineStr">
        <is>
          <t>Training Need Analysis</t>
        </is>
      </c>
      <c r="I18" s="194" t="n">
        <v>1</v>
      </c>
    </row>
    <row r="19" ht="21.75" customHeight="1" s="156">
      <c r="A19" s="192" t="n">
        <v>13</v>
      </c>
      <c r="B19" s="193" t="inlineStr">
        <is>
          <t>Self Assessment Form</t>
        </is>
      </c>
      <c r="C19" s="193" t="inlineStr">
        <is>
          <t>Building self assessment for CS</t>
        </is>
      </c>
      <c r="D19" s="193" t="inlineStr">
        <is>
          <t>17-Apr</t>
        </is>
      </c>
      <c r="E19" s="193" t="inlineStr">
        <is>
          <t>17-Apr</t>
        </is>
      </c>
      <c r="F19" s="193" t="inlineStr">
        <is>
          <t>Freeda Reshma Dsouza</t>
        </is>
      </c>
      <c r="G19" s="193" t="inlineStr">
        <is>
          <t>Online</t>
        </is>
      </c>
      <c r="H19" s="193" t="inlineStr">
        <is>
          <t>Self Assessment</t>
        </is>
      </c>
      <c r="I19" s="194" t="n">
        <v>0.5</v>
      </c>
    </row>
    <row r="20" ht="21.75" customHeight="1" s="156">
      <c r="A20" s="195" t="n">
        <v>14</v>
      </c>
      <c r="B20" s="196" t="inlineStr">
        <is>
          <t>Varsity Scripts Writing</t>
        </is>
      </c>
      <c r="C20" s="196" t="inlineStr">
        <is>
          <t>Script preparation</t>
        </is>
      </c>
      <c r="D20" s="196" t="inlineStr">
        <is>
          <t>-</t>
        </is>
      </c>
      <c r="E20" s="196" t="inlineStr">
        <is>
          <t>-</t>
        </is>
      </c>
      <c r="F20" s="196" t="inlineStr">
        <is>
          <t>Harish Bhat</t>
        </is>
      </c>
      <c r="G20" s="196" t="inlineStr">
        <is>
          <t>Offline</t>
        </is>
      </c>
      <c r="H20" s="196" t="inlineStr">
        <is>
          <t>Varsity Scripts</t>
        </is>
      </c>
      <c r="I20" s="197" t="n">
        <v>2</v>
      </c>
    </row>
    <row r="21" ht="21.75" customHeight="1" s="156">
      <c r="A21" s="195" t="n">
        <v>15</v>
      </c>
      <c r="B21" s="196" t="inlineStr">
        <is>
          <t>Varsity Video Shoot</t>
        </is>
      </c>
      <c r="C21" s="196" t="inlineStr">
        <is>
          <t>Video recording</t>
        </is>
      </c>
      <c r="D21" s="196" t="inlineStr">
        <is>
          <t>-</t>
        </is>
      </c>
      <c r="E21" s="196" t="inlineStr">
        <is>
          <t>-</t>
        </is>
      </c>
      <c r="F21" s="196" t="inlineStr">
        <is>
          <t>Harish Bhat</t>
        </is>
      </c>
      <c r="G21" s="196" t="inlineStr">
        <is>
          <t>Offline</t>
        </is>
      </c>
      <c r="H21" s="196" t="inlineStr">
        <is>
          <t>Varsity Videos</t>
        </is>
      </c>
      <c r="I21" s="197" t="n">
        <v>2</v>
      </c>
    </row>
    <row r="22" ht="21.75" customHeight="1" s="156">
      <c r="A22" s="195" t="n">
        <v>16</v>
      </c>
      <c r="B22" s="196" t="inlineStr">
        <is>
          <t>Varsity Backend Support</t>
        </is>
      </c>
      <c r="C22" s="196" t="inlineStr">
        <is>
          <t>Tickets, exam schedule</t>
        </is>
      </c>
      <c r="D22" s="196" t="inlineStr">
        <is>
          <t>-</t>
        </is>
      </c>
      <c r="E22" s="196" t="inlineStr">
        <is>
          <t>-</t>
        </is>
      </c>
      <c r="F22" s="196" t="inlineStr">
        <is>
          <t>Harish Bhat</t>
        </is>
      </c>
      <c r="G22" s="196" t="inlineStr">
        <is>
          <t>Offline</t>
        </is>
      </c>
      <c r="H22" s="196" t="inlineStr">
        <is>
          <t>Varsity Backend</t>
        </is>
      </c>
      <c r="I22" s="197" t="n">
        <v>15</v>
      </c>
    </row>
    <row r="23" ht="21.75" customHeight="1" s="156">
      <c r="A23" s="195" t="n">
        <v>17</v>
      </c>
      <c r="B23" s="196" t="inlineStr">
        <is>
          <t>Mock Calls</t>
        </is>
      </c>
      <c r="C23" s="196" t="inlineStr">
        <is>
          <t>Mock calls for SM</t>
        </is>
      </c>
      <c r="D23" s="196" t="inlineStr">
        <is>
          <t>30-Apr</t>
        </is>
      </c>
      <c r="E23" s="196" t="inlineStr">
        <is>
          <t>30-Apr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Mock calls</t>
        </is>
      </c>
      <c r="I23" s="197" t="n">
        <v>2</v>
      </c>
    </row>
    <row r="24" ht="21.75" customHeight="1" s="156">
      <c r="A24" s="195" t="n">
        <v>18</v>
      </c>
      <c r="B24" s="196" t="inlineStr">
        <is>
          <t>Mock Calls</t>
        </is>
      </c>
      <c r="C24" s="196" t="inlineStr">
        <is>
          <t>Mock calls for SM</t>
        </is>
      </c>
      <c r="D24" s="196" t="inlineStr">
        <is>
          <t>30-Apr</t>
        </is>
      </c>
      <c r="E24" s="196" t="inlineStr">
        <is>
          <t>30-Apr</t>
        </is>
      </c>
      <c r="F24" s="196" t="inlineStr">
        <is>
          <t>Girish A</t>
        </is>
      </c>
      <c r="G24" s="196" t="inlineStr">
        <is>
          <t>Offline</t>
        </is>
      </c>
      <c r="H24" s="196" t="inlineStr">
        <is>
          <t>Mock calls</t>
        </is>
      </c>
      <c r="I24" s="197" t="n">
        <v>2</v>
      </c>
    </row>
    <row r="25" ht="21.75" customHeight="1" s="156">
      <c r="A25" s="192" t="n">
        <v>19</v>
      </c>
      <c r="B25" s="193" t="inlineStr">
        <is>
          <t>Ticket Tool Video</t>
        </is>
      </c>
      <c r="C25" s="193" t="inlineStr">
        <is>
          <t>Video production</t>
        </is>
      </c>
      <c r="D25" s="193" t="inlineStr">
        <is>
          <t>2-May</t>
        </is>
      </c>
      <c r="E25" s="193" t="inlineStr">
        <is>
          <t>2-May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Ticket Tool</t>
        </is>
      </c>
      <c r="I25" s="194" t="n">
        <v>3</v>
      </c>
    </row>
    <row r="26" ht="27.75" customHeight="1" s="156">
      <c r="A26" s="198" t="inlineStr">
        <is>
          <t>TOTAL MAN HOURS THIS MONTH</t>
        </is>
      </c>
      <c r="B26" s="198" t="n"/>
      <c r="C26" s="198" t="n"/>
      <c r="D26" s="198" t="n"/>
      <c r="E26" s="198" t="n"/>
      <c r="F26" s="198" t="n"/>
      <c r="G26" s="198" t="n"/>
      <c r="H26" s="198" t="n"/>
      <c r="I26" s="199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2" t="inlineStr">
        <is>
          <t>MAY 2026  —  TRAINING LOG</t>
        </is>
      </c>
      <c r="B2" s="213" t="n"/>
      <c r="C2" s="213" t="n"/>
      <c r="D2" s="213" t="n"/>
      <c r="E2" s="213" t="n"/>
      <c r="F2" s="213" t="n"/>
      <c r="G2" s="213" t="n"/>
      <c r="H2" s="213" t="n"/>
      <c r="I2" s="21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5" t="inlineStr">
        <is>
          <t>Zerodha Training &amp; Development  ·  All activities recorded for this month</t>
        </is>
      </c>
      <c r="B3" s="213" t="n"/>
      <c r="C3" s="213" t="n"/>
      <c r="D3" s="213" t="n"/>
      <c r="E3" s="213" t="n"/>
      <c r="F3" s="213" t="n"/>
      <c r="G3" s="213" t="n"/>
      <c r="H3" s="213" t="n"/>
      <c r="I3" s="21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16" t="inlineStr">
        <is>
          <t>← Use the sheet tabs at the bottom to navigate to other months or Dashboard</t>
        </is>
      </c>
      <c r="B4" s="213" t="n"/>
      <c r="C4" s="213" t="n"/>
      <c r="D4" s="213" t="n"/>
      <c r="E4" s="213" t="n"/>
      <c r="F4" s="213" t="n"/>
      <c r="G4" s="213" t="n"/>
      <c r="H4" s="213" t="n"/>
      <c r="I4" s="21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27.75" customHeight="1" s="156"/>
    <row r="24" ht="27.75" customHeight="1" s="156"/>
    <row r="25" ht="27.75" customHeight="1" s="156"/>
    <row r="26" ht="27.75" customHeight="1" s="156"/>
    <row r="27" ht="27.75" customHeight="1" s="156"/>
    <row r="28" ht="27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112:H11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2026-06-10T17:48:52Z</dcterms:created>
  <dcterms:modified xsi:type="dcterms:W3CDTF">2026-06-10T17:48:54Z</dcterms:modified>
</cp:coreProperties>
</file>