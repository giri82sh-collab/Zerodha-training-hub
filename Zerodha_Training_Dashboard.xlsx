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hidden" r:id="rId12"/>
    <sheet name="September 2026" sheetId="13" state="hidden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'Dashboard'!$B$13:$C$14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0" fontId="36" fillId="31" borderId="18" applyAlignment="1" pivotButton="0" quotePrefix="0" xfId="0">
      <alignment horizontal="right" vertical="center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'CD'!$B$2:$B$9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'CD'!$C$2:$C$9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'CD'!$D$2:$D$9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'CD'!$E$2:$E$9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'CD'!$F$2:$F$9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'CD'!$A$12:$A$13</f>
            </numRef>
          </cat>
          <val>
            <numRef>
              <f>'CD'!$B$12:$B$13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'CD'!$A$16:$A$41</f>
            </numRef>
          </cat>
          <val>
            <numRef>
              <f>'CD'!$B$16:$B$41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29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29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29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3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3.5" customHeight="1" s="156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38" t="n"/>
      <c r="B28" s="177" t="inlineStr">
        <is>
          <t>TRAINING ANALYTICS</t>
        </is>
      </c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188" t="inlineStr">
        <is>
          <t>Monthly Hours by Trainer</t>
        </is>
      </c>
      <c r="G29" s="188" t="inlineStr">
        <is>
          <t>Online vs Offline</t>
        </is>
      </c>
      <c r="K29" s="188" t="inlineStr">
        <is>
          <t>Hours by Activity Type</t>
        </is>
      </c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40" t="n"/>
      <c r="B62" s="177" t="inlineStr">
        <is>
          <t>COMPLETE ACTIVITY LOG  —  Filters with dropdown above</t>
        </is>
      </c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30" t="inlineStr">
        <is>
          <t>Month</t>
        </is>
      </c>
      <c r="C63" s="30" t="inlineStr">
        <is>
          <t>Type of Training</t>
        </is>
      </c>
      <c r="D63" s="29" t="n"/>
      <c r="E63" s="30" t="inlineStr">
        <is>
          <t>Training Details</t>
        </is>
      </c>
      <c r="F63" s="29" t="n"/>
      <c r="G63" s="30" t="inlineStr">
        <is>
          <t>Start Date</t>
        </is>
      </c>
      <c r="H63" s="30" t="inlineStr">
        <is>
          <t>Completed</t>
        </is>
      </c>
      <c r="I63" s="29" t="n"/>
      <c r="J63" s="30" t="inlineStr">
        <is>
          <t>Trainer Name</t>
        </is>
      </c>
      <c r="K63" s="29" t="n"/>
      <c r="L63" s="30" t="inlineStr">
        <is>
          <t>Session</t>
        </is>
      </c>
      <c r="M63" s="29" t="n"/>
      <c r="N63" s="30" t="inlineStr">
        <is>
          <t>Topic Covered</t>
        </is>
      </c>
      <c r="O63" s="29" t="n"/>
      <c r="P63" s="29" t="n"/>
      <c r="Q63" s="30" t="inlineStr">
        <is>
          <t>Man Hours</t>
        </is>
      </c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89">
        <f>IFERROR(_xlfn.FILTER(Data!$A$2:$A$1000, ((Data!$A$2:$A$1000=$D$6)+($D$6="All Months")) * (Data!$A$2:$A$1000&lt;&gt;"")), "")</f>
        <v/>
      </c>
      <c r="C64" s="190">
        <f>IFERROR(_xlfn.FILTER(Data!$B$2:$B$1000, ((Data!$A$2:$A$1000=$D$6)+($D$6="All Months")) * (Data!$A$2:$A$1000&lt;&gt;"")), "")</f>
        <v/>
      </c>
      <c r="D64" s="190" t="n"/>
      <c r="E64" s="190">
        <f>IFERROR(_xlfn.FILTER(Data!$C$2:$C$1000, ((Data!$A$2:$A$1000=$D$6)+($D$6="All Months")) * (Data!$A$2:$A$1000&lt;&gt;"")), "")</f>
        <v/>
      </c>
      <c r="F64" s="190" t="n"/>
      <c r="G64" s="189">
        <f>IFERROR(_xlfn.FILTER(Data!$D$2:$D$1000, ((Data!$A$2:$A$1000=$D$6)+($D$6="All Months")) * (Data!$A$2:$A$1000&lt;&gt;"")), "")</f>
        <v/>
      </c>
      <c r="H64" s="189">
        <f>IFERROR(_xlfn.FILTER(Data!$E$2:$E$1000, ((Data!$A$2:$A$1000=$D$6)+($D$6="All Months")) * (Data!$A$2:$A$1000&lt;&gt;"")), "")</f>
        <v/>
      </c>
      <c r="I64" s="189" t="n"/>
      <c r="J64" s="190">
        <f>IFERROR(_xlfn.FILTER(Data!$F$2:$F$1000, ((Data!$A$2:$A$1000=$D$6)+($D$6="All Months")) * (Data!$A$2:$A$1000&lt;&gt;"")), "")</f>
        <v/>
      </c>
      <c r="K64" s="190" t="n"/>
      <c r="L64" s="189">
        <f>IFERROR(_xlfn.FILTER(Data!$G$2:$G$1000, ((Data!$A$2:$A$1000=$D$6)+($D$6="All Months")) * (Data!$A$2:$A$1000&lt;&gt;"")), "")</f>
        <v/>
      </c>
      <c r="M64" s="189" t="n"/>
      <c r="N64" s="190">
        <f>IFERROR(_xlfn.FILTER(Data!$H$2:$H$1000, ((Data!$A$2:$A$1000=$D$6)+($D$6="All Months")) * (Data!$A$2:$A$1000&lt;&gt;"")), "")</f>
        <v/>
      </c>
      <c r="O64" s="190" t="n"/>
      <c r="P64" s="190" t="n"/>
      <c r="Q64" s="191">
        <f>IFERROR(_xlfn.FILTER(Data!$I$2:$I$1000, ((Data!$A$2:$A$1000=$D$6)+($D$6="All Months")) * (Data!$A$2:$A$1000&lt;&gt;"")), "")</f>
        <v/>
      </c>
      <c r="R64" s="191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89" t="n"/>
      <c r="C65" s="190" t="n"/>
      <c r="D65" s="190" t="n"/>
      <c r="E65" s="190" t="n"/>
      <c r="F65" s="190" t="n"/>
      <c r="G65" s="189" t="n"/>
      <c r="H65" s="189" t="n"/>
      <c r="I65" s="189" t="n"/>
      <c r="J65" s="190" t="n"/>
      <c r="K65" s="190" t="n"/>
      <c r="L65" s="189" t="n"/>
      <c r="M65" s="189" t="n"/>
      <c r="N65" s="190" t="n"/>
      <c r="O65" s="190" t="n"/>
      <c r="P65" s="190" t="n"/>
      <c r="Q65" s="191" t="n"/>
      <c r="R65" s="191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n"/>
      <c r="C66" s="190" t="n"/>
      <c r="D66" s="190" t="n"/>
      <c r="E66" s="190" t="n"/>
      <c r="F66" s="190" t="n"/>
      <c r="G66" s="189" t="n"/>
      <c r="H66" s="189" t="n"/>
      <c r="I66" s="189" t="n"/>
      <c r="J66" s="190" t="n"/>
      <c r="K66" s="190" t="n"/>
      <c r="L66" s="189" t="n"/>
      <c r="M66" s="189" t="n"/>
      <c r="N66" s="190" t="n"/>
      <c r="O66" s="190" t="n"/>
      <c r="P66" s="190" t="n"/>
      <c r="Q66" s="191" t="n"/>
      <c r="R66" s="191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n"/>
      <c r="C67" s="190" t="n"/>
      <c r="D67" s="190" t="n"/>
      <c r="E67" s="190" t="n"/>
      <c r="F67" s="190" t="n"/>
      <c r="G67" s="189" t="n"/>
      <c r="H67" s="189" t="n"/>
      <c r="I67" s="189" t="n"/>
      <c r="J67" s="190" t="n"/>
      <c r="K67" s="190" t="n"/>
      <c r="L67" s="189" t="n"/>
      <c r="M67" s="189" t="n"/>
      <c r="N67" s="190" t="n"/>
      <c r="O67" s="190" t="n"/>
      <c r="P67" s="190" t="n"/>
      <c r="Q67" s="191" t="n"/>
      <c r="R67" s="191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n"/>
      <c r="C68" s="190" t="n"/>
      <c r="D68" s="190" t="n"/>
      <c r="E68" s="190" t="n"/>
      <c r="F68" s="190" t="n"/>
      <c r="G68" s="189" t="n"/>
      <c r="H68" s="189" t="n"/>
      <c r="I68" s="189" t="n"/>
      <c r="J68" s="190" t="n"/>
      <c r="K68" s="190" t="n"/>
      <c r="L68" s="189" t="n"/>
      <c r="M68" s="189" t="n"/>
      <c r="N68" s="190" t="n"/>
      <c r="O68" s="190" t="n"/>
      <c r="P68" s="190" t="n"/>
      <c r="Q68" s="191" t="n"/>
      <c r="R68" s="191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n"/>
      <c r="C69" s="190" t="n"/>
      <c r="D69" s="190" t="n"/>
      <c r="E69" s="190" t="n"/>
      <c r="F69" s="190" t="n"/>
      <c r="G69" s="189" t="n"/>
      <c r="H69" s="189" t="n"/>
      <c r="I69" s="189" t="n"/>
      <c r="J69" s="190" t="n"/>
      <c r="K69" s="190" t="n"/>
      <c r="L69" s="189" t="n"/>
      <c r="M69" s="189" t="n"/>
      <c r="N69" s="190" t="n"/>
      <c r="O69" s="190" t="n"/>
      <c r="P69" s="190" t="n"/>
      <c r="Q69" s="191" t="n"/>
      <c r="R69" s="191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n"/>
      <c r="C70" s="190" t="n"/>
      <c r="D70" s="190" t="n"/>
      <c r="E70" s="190" t="n"/>
      <c r="F70" s="190" t="n"/>
      <c r="G70" s="189" t="n"/>
      <c r="H70" s="189" t="n"/>
      <c r="I70" s="189" t="n"/>
      <c r="J70" s="190" t="n"/>
      <c r="K70" s="190" t="n"/>
      <c r="L70" s="189" t="n"/>
      <c r="M70" s="189" t="n"/>
      <c r="N70" s="190" t="n"/>
      <c r="O70" s="190" t="n"/>
      <c r="P70" s="190" t="n"/>
      <c r="Q70" s="191" t="n"/>
      <c r="R70" s="191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n"/>
      <c r="C71" s="190" t="n"/>
      <c r="D71" s="190" t="n"/>
      <c r="E71" s="190" t="n"/>
      <c r="F71" s="190" t="n"/>
      <c r="G71" s="189" t="n"/>
      <c r="H71" s="189" t="n"/>
      <c r="I71" s="189" t="n"/>
      <c r="J71" s="190" t="n"/>
      <c r="K71" s="190" t="n"/>
      <c r="L71" s="189" t="n"/>
      <c r="M71" s="189" t="n"/>
      <c r="N71" s="190" t="n"/>
      <c r="O71" s="190" t="n"/>
      <c r="P71" s="190" t="n"/>
      <c r="Q71" s="191" t="n"/>
      <c r="R71" s="191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n"/>
      <c r="C72" s="190" t="n"/>
      <c r="D72" s="190" t="n"/>
      <c r="E72" s="190" t="n"/>
      <c r="F72" s="190" t="n"/>
      <c r="G72" s="189" t="n"/>
      <c r="H72" s="189" t="n"/>
      <c r="I72" s="189" t="n"/>
      <c r="J72" s="190" t="n"/>
      <c r="K72" s="190" t="n"/>
      <c r="L72" s="189" t="n"/>
      <c r="M72" s="189" t="n"/>
      <c r="N72" s="190" t="n"/>
      <c r="O72" s="190" t="n"/>
      <c r="P72" s="190" t="n"/>
      <c r="Q72" s="191" t="n"/>
      <c r="R72" s="191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n"/>
      <c r="C73" s="190" t="n"/>
      <c r="D73" s="190" t="n"/>
      <c r="E73" s="190" t="n"/>
      <c r="F73" s="190" t="n"/>
      <c r="G73" s="189" t="n"/>
      <c r="H73" s="189" t="n"/>
      <c r="I73" s="189" t="n"/>
      <c r="J73" s="190" t="n"/>
      <c r="K73" s="190" t="n"/>
      <c r="L73" s="189" t="n"/>
      <c r="M73" s="189" t="n"/>
      <c r="N73" s="190" t="n"/>
      <c r="O73" s="190" t="n"/>
      <c r="P73" s="190" t="n"/>
      <c r="Q73" s="191" t="n"/>
      <c r="R73" s="191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n"/>
      <c r="C74" s="190" t="n"/>
      <c r="D74" s="190" t="n"/>
      <c r="E74" s="190" t="n"/>
      <c r="F74" s="190" t="n"/>
      <c r="G74" s="189" t="n"/>
      <c r="H74" s="189" t="n"/>
      <c r="I74" s="189" t="n"/>
      <c r="J74" s="190" t="n"/>
      <c r="K74" s="190" t="n"/>
      <c r="L74" s="189" t="n"/>
      <c r="M74" s="189" t="n"/>
      <c r="N74" s="190" t="n"/>
      <c r="O74" s="190" t="n"/>
      <c r="P74" s="190" t="n"/>
      <c r="Q74" s="191" t="n"/>
      <c r="R74" s="191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n"/>
      <c r="C75" s="190" t="n"/>
      <c r="D75" s="190" t="n"/>
      <c r="E75" s="190" t="n"/>
      <c r="F75" s="190" t="n"/>
      <c r="G75" s="189" t="n"/>
      <c r="H75" s="189" t="n"/>
      <c r="I75" s="189" t="n"/>
      <c r="J75" s="190" t="n"/>
      <c r="K75" s="190" t="n"/>
      <c r="L75" s="189" t="n"/>
      <c r="M75" s="189" t="n"/>
      <c r="N75" s="190" t="n"/>
      <c r="O75" s="190" t="n"/>
      <c r="P75" s="190" t="n"/>
      <c r="Q75" s="191" t="n"/>
      <c r="R75" s="191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n"/>
      <c r="C76" s="190" t="n"/>
      <c r="D76" s="190" t="n"/>
      <c r="E76" s="190" t="n"/>
      <c r="F76" s="190" t="n"/>
      <c r="G76" s="189" t="n"/>
      <c r="H76" s="189" t="n"/>
      <c r="I76" s="189" t="n"/>
      <c r="J76" s="190" t="n"/>
      <c r="K76" s="190" t="n"/>
      <c r="L76" s="189" t="n"/>
      <c r="M76" s="189" t="n"/>
      <c r="N76" s="190" t="n"/>
      <c r="O76" s="190" t="n"/>
      <c r="P76" s="190" t="n"/>
      <c r="Q76" s="191" t="n"/>
      <c r="R76" s="191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n"/>
      <c r="C77" s="190" t="n"/>
      <c r="D77" s="190" t="n"/>
      <c r="E77" s="190" t="n"/>
      <c r="F77" s="190" t="n"/>
      <c r="G77" s="189" t="n"/>
      <c r="H77" s="189" t="n"/>
      <c r="I77" s="189" t="n"/>
      <c r="J77" s="190" t="n"/>
      <c r="K77" s="190" t="n"/>
      <c r="L77" s="189" t="n"/>
      <c r="M77" s="189" t="n"/>
      <c r="N77" s="190" t="n"/>
      <c r="O77" s="190" t="n"/>
      <c r="P77" s="190" t="n"/>
      <c r="Q77" s="191" t="n"/>
      <c r="R77" s="191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n"/>
      <c r="C78" s="190" t="n"/>
      <c r="D78" s="190" t="n"/>
      <c r="E78" s="190" t="n"/>
      <c r="F78" s="190" t="n"/>
      <c r="G78" s="189" t="n"/>
      <c r="H78" s="189" t="n"/>
      <c r="I78" s="189" t="n"/>
      <c r="J78" s="190" t="n"/>
      <c r="K78" s="190" t="n"/>
      <c r="L78" s="189" t="n"/>
      <c r="M78" s="189" t="n"/>
      <c r="N78" s="190" t="n"/>
      <c r="O78" s="190" t="n"/>
      <c r="P78" s="190" t="n"/>
      <c r="Q78" s="191" t="n"/>
      <c r="R78" s="191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n"/>
      <c r="C79" s="190" t="n"/>
      <c r="D79" s="190" t="n"/>
      <c r="E79" s="190" t="n"/>
      <c r="F79" s="190" t="n"/>
      <c r="G79" s="189" t="n"/>
      <c r="H79" s="189" t="n"/>
      <c r="I79" s="189" t="n"/>
      <c r="J79" s="190" t="n"/>
      <c r="K79" s="190" t="n"/>
      <c r="L79" s="189" t="n"/>
      <c r="M79" s="189" t="n"/>
      <c r="N79" s="190" t="n"/>
      <c r="O79" s="190" t="n"/>
      <c r="P79" s="190" t="n"/>
      <c r="Q79" s="191" t="n"/>
      <c r="R79" s="191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n"/>
      <c r="C80" s="190" t="n"/>
      <c r="D80" s="190" t="n"/>
      <c r="E80" s="190" t="n"/>
      <c r="F80" s="190" t="n"/>
      <c r="G80" s="189" t="n"/>
      <c r="H80" s="189" t="n"/>
      <c r="I80" s="189" t="n"/>
      <c r="J80" s="190" t="n"/>
      <c r="K80" s="190" t="n"/>
      <c r="L80" s="189" t="n"/>
      <c r="M80" s="189" t="n"/>
      <c r="N80" s="190" t="n"/>
      <c r="O80" s="190" t="n"/>
      <c r="P80" s="190" t="n"/>
      <c r="Q80" s="191" t="n"/>
      <c r="R80" s="191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n"/>
      <c r="C81" s="190" t="n"/>
      <c r="D81" s="190" t="n"/>
      <c r="E81" s="190" t="n"/>
      <c r="F81" s="190" t="n"/>
      <c r="G81" s="189" t="n"/>
      <c r="H81" s="189" t="n"/>
      <c r="I81" s="189" t="n"/>
      <c r="J81" s="190" t="n"/>
      <c r="K81" s="190" t="n"/>
      <c r="L81" s="189" t="n"/>
      <c r="M81" s="189" t="n"/>
      <c r="N81" s="190" t="n"/>
      <c r="O81" s="190" t="n"/>
      <c r="P81" s="190" t="n"/>
      <c r="Q81" s="191" t="n"/>
      <c r="R81" s="191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n"/>
      <c r="C82" s="190" t="n"/>
      <c r="D82" s="190" t="n"/>
      <c r="E82" s="190" t="n"/>
      <c r="F82" s="190" t="n"/>
      <c r="G82" s="189" t="n"/>
      <c r="H82" s="189" t="n"/>
      <c r="I82" s="189" t="n"/>
      <c r="J82" s="190" t="n"/>
      <c r="K82" s="190" t="n"/>
      <c r="L82" s="189" t="n"/>
      <c r="M82" s="189" t="n"/>
      <c r="N82" s="190" t="n"/>
      <c r="O82" s="190" t="n"/>
      <c r="P82" s="190" t="n"/>
      <c r="Q82" s="191" t="n"/>
      <c r="R82" s="191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n"/>
      <c r="C83" s="190" t="n"/>
      <c r="D83" s="190" t="n"/>
      <c r="E83" s="190" t="n"/>
      <c r="F83" s="190" t="n"/>
      <c r="G83" s="189" t="n"/>
      <c r="H83" s="189" t="n"/>
      <c r="I83" s="189" t="n"/>
      <c r="J83" s="190" t="n"/>
      <c r="K83" s="190" t="n"/>
      <c r="L83" s="189" t="n"/>
      <c r="M83" s="189" t="n"/>
      <c r="N83" s="190" t="n"/>
      <c r="O83" s="190" t="n"/>
      <c r="P83" s="190" t="n"/>
      <c r="Q83" s="191" t="n"/>
      <c r="R83" s="191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n"/>
      <c r="C84" s="190" t="n"/>
      <c r="D84" s="190" t="n"/>
      <c r="E84" s="190" t="n"/>
      <c r="F84" s="190" t="n"/>
      <c r="G84" s="189" t="n"/>
      <c r="H84" s="189" t="n"/>
      <c r="I84" s="189" t="n"/>
      <c r="J84" s="190" t="n"/>
      <c r="K84" s="190" t="n"/>
      <c r="L84" s="189" t="n"/>
      <c r="M84" s="189" t="n"/>
      <c r="N84" s="190" t="n"/>
      <c r="O84" s="190" t="n"/>
      <c r="P84" s="190" t="n"/>
      <c r="Q84" s="191" t="n"/>
      <c r="R84" s="191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n"/>
      <c r="C85" s="190" t="n"/>
      <c r="D85" s="190" t="n"/>
      <c r="E85" s="190" t="n"/>
      <c r="F85" s="190" t="n"/>
      <c r="G85" s="189" t="n"/>
      <c r="H85" s="189" t="n"/>
      <c r="I85" s="189" t="n"/>
      <c r="J85" s="190" t="n"/>
      <c r="K85" s="190" t="n"/>
      <c r="L85" s="189" t="n"/>
      <c r="M85" s="189" t="n"/>
      <c r="N85" s="190" t="n"/>
      <c r="O85" s="190" t="n"/>
      <c r="P85" s="190" t="n"/>
      <c r="Q85" s="191" t="n"/>
      <c r="R85" s="191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n"/>
      <c r="C86" s="190" t="n"/>
      <c r="D86" s="190" t="n"/>
      <c r="E86" s="190" t="n"/>
      <c r="F86" s="190" t="n"/>
      <c r="G86" s="189" t="n"/>
      <c r="H86" s="189" t="n"/>
      <c r="I86" s="189" t="n"/>
      <c r="J86" s="190" t="n"/>
      <c r="K86" s="190" t="n"/>
      <c r="L86" s="189" t="n"/>
      <c r="M86" s="189" t="n"/>
      <c r="N86" s="190" t="n"/>
      <c r="O86" s="190" t="n"/>
      <c r="P86" s="190" t="n"/>
      <c r="Q86" s="191" t="n"/>
      <c r="R86" s="191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n"/>
      <c r="C87" s="190" t="n"/>
      <c r="D87" s="190" t="n"/>
      <c r="E87" s="190" t="n"/>
      <c r="F87" s="190" t="n"/>
      <c r="G87" s="189" t="n"/>
      <c r="H87" s="189" t="n"/>
      <c r="I87" s="189" t="n"/>
      <c r="J87" s="190" t="n"/>
      <c r="K87" s="190" t="n"/>
      <c r="L87" s="189" t="n"/>
      <c r="M87" s="189" t="n"/>
      <c r="N87" s="190" t="n"/>
      <c r="O87" s="190" t="n"/>
      <c r="P87" s="190" t="n"/>
      <c r="Q87" s="191" t="n"/>
      <c r="R87" s="191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n"/>
      <c r="C88" s="190" t="n"/>
      <c r="D88" s="190" t="n"/>
      <c r="E88" s="190" t="n"/>
      <c r="F88" s="190" t="n"/>
      <c r="G88" s="189" t="n"/>
      <c r="H88" s="189" t="n"/>
      <c r="I88" s="189" t="n"/>
      <c r="J88" s="190" t="n"/>
      <c r="K88" s="190" t="n"/>
      <c r="L88" s="189" t="n"/>
      <c r="M88" s="189" t="n"/>
      <c r="N88" s="190" t="n"/>
      <c r="O88" s="190" t="n"/>
      <c r="P88" s="190" t="n"/>
      <c r="Q88" s="191" t="n"/>
      <c r="R88" s="191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n"/>
      <c r="C89" s="190" t="n"/>
      <c r="D89" s="190" t="n"/>
      <c r="E89" s="190" t="n"/>
      <c r="F89" s="190" t="n"/>
      <c r="G89" s="189" t="n"/>
      <c r="H89" s="189" t="n"/>
      <c r="I89" s="189" t="n"/>
      <c r="J89" s="190" t="n"/>
      <c r="K89" s="190" t="n"/>
      <c r="L89" s="189" t="n"/>
      <c r="M89" s="189" t="n"/>
      <c r="N89" s="190" t="n"/>
      <c r="O89" s="190" t="n"/>
      <c r="P89" s="190" t="n"/>
      <c r="Q89" s="191" t="n"/>
      <c r="R89" s="191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n"/>
      <c r="C90" s="190" t="n"/>
      <c r="D90" s="190" t="n"/>
      <c r="E90" s="190" t="n"/>
      <c r="F90" s="190" t="n"/>
      <c r="G90" s="189" t="n"/>
      <c r="H90" s="189" t="n"/>
      <c r="I90" s="189" t="n"/>
      <c r="J90" s="190" t="n"/>
      <c r="K90" s="190" t="n"/>
      <c r="L90" s="189" t="n"/>
      <c r="M90" s="189" t="n"/>
      <c r="N90" s="190" t="n"/>
      <c r="O90" s="190" t="n"/>
      <c r="P90" s="190" t="n"/>
      <c r="Q90" s="191" t="n"/>
      <c r="R90" s="191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n"/>
      <c r="C91" s="190" t="n"/>
      <c r="D91" s="190" t="n"/>
      <c r="E91" s="190" t="n"/>
      <c r="F91" s="190" t="n"/>
      <c r="G91" s="189" t="n"/>
      <c r="H91" s="189" t="n"/>
      <c r="I91" s="189" t="n"/>
      <c r="J91" s="190" t="n"/>
      <c r="K91" s="190" t="n"/>
      <c r="L91" s="189" t="n"/>
      <c r="M91" s="189" t="n"/>
      <c r="N91" s="190" t="n"/>
      <c r="O91" s="190" t="n"/>
      <c r="P91" s="190" t="n"/>
      <c r="Q91" s="191" t="n"/>
      <c r="R91" s="191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n"/>
      <c r="C92" s="190" t="n"/>
      <c r="D92" s="190" t="n"/>
      <c r="E92" s="190" t="n"/>
      <c r="F92" s="190" t="n"/>
      <c r="G92" s="189" t="n"/>
      <c r="H92" s="189" t="n"/>
      <c r="I92" s="189" t="n"/>
      <c r="J92" s="190" t="n"/>
      <c r="K92" s="190" t="n"/>
      <c r="L92" s="189" t="n"/>
      <c r="M92" s="189" t="n"/>
      <c r="N92" s="190" t="n"/>
      <c r="O92" s="190" t="n"/>
      <c r="P92" s="190" t="n"/>
      <c r="Q92" s="191" t="n"/>
      <c r="R92" s="191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n"/>
      <c r="C93" s="190" t="n"/>
      <c r="D93" s="190" t="n"/>
      <c r="E93" s="190" t="n"/>
      <c r="F93" s="190" t="n"/>
      <c r="G93" s="189" t="n"/>
      <c r="H93" s="189" t="n"/>
      <c r="I93" s="189" t="n"/>
      <c r="J93" s="190" t="n"/>
      <c r="K93" s="190" t="n"/>
      <c r="L93" s="189" t="n"/>
      <c r="M93" s="189" t="n"/>
      <c r="N93" s="190" t="n"/>
      <c r="O93" s="190" t="n"/>
      <c r="P93" s="190" t="n"/>
      <c r="Q93" s="191" t="n"/>
      <c r="R93" s="191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n"/>
      <c r="C94" s="190" t="n"/>
      <c r="D94" s="190" t="n"/>
      <c r="E94" s="190" t="n"/>
      <c r="F94" s="190" t="n"/>
      <c r="G94" s="189" t="n"/>
      <c r="H94" s="189" t="n"/>
      <c r="I94" s="189" t="n"/>
      <c r="J94" s="190" t="n"/>
      <c r="K94" s="190" t="n"/>
      <c r="L94" s="189" t="n"/>
      <c r="M94" s="189" t="n"/>
      <c r="N94" s="190" t="n"/>
      <c r="O94" s="190" t="n"/>
      <c r="P94" s="190" t="n"/>
      <c r="Q94" s="191" t="n"/>
      <c r="R94" s="191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n"/>
      <c r="C95" s="190" t="n"/>
      <c r="D95" s="190" t="n"/>
      <c r="E95" s="190" t="n"/>
      <c r="F95" s="190" t="n"/>
      <c r="G95" s="189" t="n"/>
      <c r="H95" s="189" t="n"/>
      <c r="I95" s="189" t="n"/>
      <c r="J95" s="190" t="n"/>
      <c r="K95" s="190" t="n"/>
      <c r="L95" s="189" t="n"/>
      <c r="M95" s="189" t="n"/>
      <c r="N95" s="190" t="n"/>
      <c r="O95" s="190" t="n"/>
      <c r="P95" s="190" t="n"/>
      <c r="Q95" s="191" t="n"/>
      <c r="R95" s="191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n"/>
      <c r="C96" s="190" t="n"/>
      <c r="D96" s="190" t="n"/>
      <c r="E96" s="190" t="n"/>
      <c r="F96" s="190" t="n"/>
      <c r="G96" s="189" t="n"/>
      <c r="H96" s="189" t="n"/>
      <c r="I96" s="189" t="n"/>
      <c r="J96" s="190" t="n"/>
      <c r="K96" s="190" t="n"/>
      <c r="L96" s="189" t="n"/>
      <c r="M96" s="189" t="n"/>
      <c r="N96" s="190" t="n"/>
      <c r="O96" s="190" t="n"/>
      <c r="P96" s="190" t="n"/>
      <c r="Q96" s="191" t="n"/>
      <c r="R96" s="191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n"/>
      <c r="C97" s="190" t="n"/>
      <c r="D97" s="190" t="n"/>
      <c r="E97" s="190" t="n"/>
      <c r="F97" s="190" t="n"/>
      <c r="G97" s="189" t="n"/>
      <c r="H97" s="189" t="n"/>
      <c r="I97" s="189" t="n"/>
      <c r="J97" s="190" t="n"/>
      <c r="K97" s="190" t="n"/>
      <c r="L97" s="189" t="n"/>
      <c r="M97" s="189" t="n"/>
      <c r="N97" s="190" t="n"/>
      <c r="O97" s="190" t="n"/>
      <c r="P97" s="190" t="n"/>
      <c r="Q97" s="191" t="n"/>
      <c r="R97" s="191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n"/>
      <c r="C98" s="190" t="n"/>
      <c r="D98" s="190" t="n"/>
      <c r="E98" s="190" t="n"/>
      <c r="F98" s="190" t="n"/>
      <c r="G98" s="189" t="n"/>
      <c r="H98" s="189" t="n"/>
      <c r="I98" s="189" t="n"/>
      <c r="J98" s="190" t="n"/>
      <c r="K98" s="190" t="n"/>
      <c r="L98" s="189" t="n"/>
      <c r="M98" s="189" t="n"/>
      <c r="N98" s="190" t="n"/>
      <c r="O98" s="190" t="n"/>
      <c r="P98" s="190" t="n"/>
      <c r="Q98" s="191" t="n"/>
      <c r="R98" s="191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n"/>
      <c r="C99" s="190" t="n"/>
      <c r="D99" s="190" t="n"/>
      <c r="E99" s="190" t="n"/>
      <c r="F99" s="190" t="n"/>
      <c r="G99" s="189" t="n"/>
      <c r="H99" s="189" t="n"/>
      <c r="I99" s="189" t="n"/>
      <c r="J99" s="190" t="n"/>
      <c r="K99" s="190" t="n"/>
      <c r="L99" s="189" t="n"/>
      <c r="M99" s="189" t="n"/>
      <c r="N99" s="190" t="n"/>
      <c r="O99" s="190" t="n"/>
      <c r="P99" s="190" t="n"/>
      <c r="Q99" s="191" t="n"/>
      <c r="R99" s="191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n"/>
      <c r="C100" s="190" t="n"/>
      <c r="D100" s="190" t="n"/>
      <c r="E100" s="190" t="n"/>
      <c r="F100" s="190" t="n"/>
      <c r="G100" s="189" t="n"/>
      <c r="H100" s="189" t="n"/>
      <c r="I100" s="189" t="n"/>
      <c r="J100" s="190" t="n"/>
      <c r="K100" s="190" t="n"/>
      <c r="L100" s="189" t="n"/>
      <c r="M100" s="189" t="n"/>
      <c r="N100" s="190" t="n"/>
      <c r="O100" s="190" t="n"/>
      <c r="P100" s="190" t="n"/>
      <c r="Q100" s="191" t="n"/>
      <c r="R100" s="191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n"/>
      <c r="C101" s="190" t="n"/>
      <c r="D101" s="190" t="n"/>
      <c r="E101" s="190" t="n"/>
      <c r="F101" s="190" t="n"/>
      <c r="G101" s="189" t="n"/>
      <c r="H101" s="189" t="n"/>
      <c r="I101" s="189" t="n"/>
      <c r="J101" s="190" t="n"/>
      <c r="K101" s="190" t="n"/>
      <c r="L101" s="189" t="n"/>
      <c r="M101" s="189" t="n"/>
      <c r="N101" s="190" t="n"/>
      <c r="O101" s="190" t="n"/>
      <c r="P101" s="190" t="n"/>
      <c r="Q101" s="191" t="n"/>
      <c r="R101" s="191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n"/>
      <c r="C102" s="190" t="n"/>
      <c r="D102" s="190" t="n"/>
      <c r="E102" s="190" t="n"/>
      <c r="F102" s="190" t="n"/>
      <c r="G102" s="189" t="n"/>
      <c r="H102" s="189" t="n"/>
      <c r="I102" s="189" t="n"/>
      <c r="J102" s="190" t="n"/>
      <c r="K102" s="190" t="n"/>
      <c r="L102" s="189" t="n"/>
      <c r="M102" s="189" t="n"/>
      <c r="N102" s="190" t="n"/>
      <c r="O102" s="190" t="n"/>
      <c r="P102" s="190" t="n"/>
      <c r="Q102" s="191" t="n"/>
      <c r="R102" s="191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n"/>
      <c r="C103" s="190" t="n"/>
      <c r="D103" s="190" t="n"/>
      <c r="E103" s="190" t="n"/>
      <c r="F103" s="190" t="n"/>
      <c r="G103" s="189" t="n"/>
      <c r="H103" s="189" t="n"/>
      <c r="I103" s="189" t="n"/>
      <c r="J103" s="190" t="n"/>
      <c r="K103" s="190" t="n"/>
      <c r="L103" s="189" t="n"/>
      <c r="M103" s="189" t="n"/>
      <c r="N103" s="190" t="n"/>
      <c r="O103" s="190" t="n"/>
      <c r="P103" s="190" t="n"/>
      <c r="Q103" s="191" t="n"/>
      <c r="R103" s="191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n"/>
      <c r="C104" s="190" t="n"/>
      <c r="D104" s="190" t="n"/>
      <c r="E104" s="190" t="n"/>
      <c r="F104" s="190" t="n"/>
      <c r="G104" s="189" t="n"/>
      <c r="H104" s="189" t="n"/>
      <c r="I104" s="189" t="n"/>
      <c r="J104" s="190" t="n"/>
      <c r="K104" s="190" t="n"/>
      <c r="L104" s="189" t="n"/>
      <c r="M104" s="189" t="n"/>
      <c r="N104" s="190" t="n"/>
      <c r="O104" s="190" t="n"/>
      <c r="P104" s="190" t="n"/>
      <c r="Q104" s="191" t="n"/>
      <c r="R104" s="191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n"/>
      <c r="C105" s="190" t="n"/>
      <c r="D105" s="190" t="n"/>
      <c r="E105" s="190" t="n"/>
      <c r="F105" s="190" t="n"/>
      <c r="G105" s="189" t="n"/>
      <c r="H105" s="189" t="n"/>
      <c r="I105" s="189" t="n"/>
      <c r="J105" s="190" t="n"/>
      <c r="K105" s="190" t="n"/>
      <c r="L105" s="189" t="n"/>
      <c r="M105" s="189" t="n"/>
      <c r="N105" s="190" t="n"/>
      <c r="O105" s="190" t="n"/>
      <c r="P105" s="190" t="n"/>
      <c r="Q105" s="191" t="n"/>
      <c r="R105" s="191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n"/>
      <c r="C106" s="190" t="n"/>
      <c r="D106" s="190" t="n"/>
      <c r="E106" s="190" t="n"/>
      <c r="F106" s="190" t="n"/>
      <c r="G106" s="189" t="n"/>
      <c r="H106" s="189" t="n"/>
      <c r="I106" s="189" t="n"/>
      <c r="J106" s="190" t="n"/>
      <c r="K106" s="190" t="n"/>
      <c r="L106" s="189" t="n"/>
      <c r="M106" s="189" t="n"/>
      <c r="N106" s="190" t="n"/>
      <c r="O106" s="190" t="n"/>
      <c r="P106" s="190" t="n"/>
      <c r="Q106" s="191" t="n"/>
      <c r="R106" s="191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n"/>
      <c r="C107" s="190" t="n"/>
      <c r="D107" s="190" t="n"/>
      <c r="E107" s="190" t="n"/>
      <c r="F107" s="190" t="n"/>
      <c r="G107" s="189" t="n"/>
      <c r="H107" s="189" t="n"/>
      <c r="I107" s="189" t="n"/>
      <c r="J107" s="190" t="n"/>
      <c r="K107" s="190" t="n"/>
      <c r="L107" s="189" t="n"/>
      <c r="M107" s="189" t="n"/>
      <c r="N107" s="190" t="n"/>
      <c r="O107" s="190" t="n"/>
      <c r="P107" s="190" t="n"/>
      <c r="Q107" s="191" t="n"/>
      <c r="R107" s="191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n"/>
      <c r="C108" s="190" t="n"/>
      <c r="D108" s="190" t="n"/>
      <c r="E108" s="190" t="n"/>
      <c r="F108" s="190" t="n"/>
      <c r="G108" s="189" t="n"/>
      <c r="H108" s="189" t="n"/>
      <c r="I108" s="189" t="n"/>
      <c r="J108" s="190" t="n"/>
      <c r="K108" s="190" t="n"/>
      <c r="L108" s="189" t="n"/>
      <c r="M108" s="189" t="n"/>
      <c r="N108" s="190" t="n"/>
      <c r="O108" s="190" t="n"/>
      <c r="P108" s="190" t="n"/>
      <c r="Q108" s="191" t="n"/>
      <c r="R108" s="191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n"/>
      <c r="C109" s="190" t="n"/>
      <c r="D109" s="190" t="n"/>
      <c r="E109" s="190" t="n"/>
      <c r="F109" s="190" t="n"/>
      <c r="G109" s="189" t="n"/>
      <c r="H109" s="189" t="n"/>
      <c r="I109" s="189" t="n"/>
      <c r="J109" s="190" t="n"/>
      <c r="K109" s="190" t="n"/>
      <c r="L109" s="189" t="n"/>
      <c r="M109" s="189" t="n"/>
      <c r="N109" s="190" t="n"/>
      <c r="O109" s="190" t="n"/>
      <c r="P109" s="190" t="n"/>
      <c r="Q109" s="191" t="n"/>
      <c r="R109" s="191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n"/>
      <c r="C110" s="190" t="n"/>
      <c r="D110" s="190" t="n"/>
      <c r="E110" s="190" t="n"/>
      <c r="F110" s="190" t="n"/>
      <c r="G110" s="189" t="n"/>
      <c r="H110" s="189" t="n"/>
      <c r="I110" s="189" t="n"/>
      <c r="J110" s="190" t="n"/>
      <c r="K110" s="190" t="n"/>
      <c r="L110" s="189" t="n"/>
      <c r="M110" s="189" t="n"/>
      <c r="N110" s="190" t="n"/>
      <c r="O110" s="190" t="n"/>
      <c r="P110" s="190" t="n"/>
      <c r="Q110" s="191" t="n"/>
      <c r="R110" s="191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n"/>
      <c r="C111" s="190" t="n"/>
      <c r="D111" s="190" t="n"/>
      <c r="E111" s="190" t="n"/>
      <c r="F111" s="190" t="n"/>
      <c r="G111" s="189" t="n"/>
      <c r="H111" s="189" t="n"/>
      <c r="I111" s="189" t="n"/>
      <c r="J111" s="190" t="n"/>
      <c r="K111" s="190" t="n"/>
      <c r="L111" s="189" t="n"/>
      <c r="M111" s="189" t="n"/>
      <c r="N111" s="190" t="n"/>
      <c r="O111" s="190" t="n"/>
      <c r="P111" s="190" t="n"/>
      <c r="Q111" s="191" t="n"/>
      <c r="R111" s="191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n"/>
      <c r="C112" s="190" t="n"/>
      <c r="D112" s="190" t="n"/>
      <c r="E112" s="190" t="n"/>
      <c r="F112" s="190" t="n"/>
      <c r="G112" s="189" t="n"/>
      <c r="H112" s="189" t="n"/>
      <c r="I112" s="189" t="n"/>
      <c r="J112" s="190" t="n"/>
      <c r="K112" s="190" t="n"/>
      <c r="L112" s="189" t="n"/>
      <c r="M112" s="189" t="n"/>
      <c r="N112" s="190" t="n"/>
      <c r="O112" s="190" t="n"/>
      <c r="P112" s="190" t="n"/>
      <c r="Q112" s="191" t="n"/>
      <c r="R112" s="191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n"/>
      <c r="C113" s="190" t="n"/>
      <c r="D113" s="190" t="n"/>
      <c r="E113" s="190" t="n"/>
      <c r="F113" s="190" t="n"/>
      <c r="G113" s="189" t="n"/>
      <c r="H113" s="189" t="n"/>
      <c r="I113" s="189" t="n"/>
      <c r="J113" s="190" t="n"/>
      <c r="K113" s="190" t="n"/>
      <c r="L113" s="189" t="n"/>
      <c r="M113" s="189" t="n"/>
      <c r="N113" s="190" t="n"/>
      <c r="O113" s="190" t="n"/>
      <c r="P113" s="190" t="n"/>
      <c r="Q113" s="191" t="n"/>
      <c r="R113" s="191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n"/>
      <c r="C114" s="190" t="n"/>
      <c r="D114" s="190" t="n"/>
      <c r="E114" s="190" t="n"/>
      <c r="F114" s="190" t="n"/>
      <c r="G114" s="189" t="n"/>
      <c r="H114" s="189" t="n"/>
      <c r="I114" s="189" t="n"/>
      <c r="J114" s="190" t="n"/>
      <c r="K114" s="190" t="n"/>
      <c r="L114" s="189" t="n"/>
      <c r="M114" s="189" t="n"/>
      <c r="N114" s="190" t="n"/>
      <c r="O114" s="190" t="n"/>
      <c r="P114" s="190" t="n"/>
      <c r="Q114" s="191" t="n"/>
      <c r="R114" s="191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n"/>
      <c r="C115" s="190" t="n"/>
      <c r="D115" s="190" t="n"/>
      <c r="E115" s="190" t="n"/>
      <c r="F115" s="190" t="n"/>
      <c r="G115" s="189" t="n"/>
      <c r="H115" s="189" t="n"/>
      <c r="I115" s="189" t="n"/>
      <c r="J115" s="190" t="n"/>
      <c r="K115" s="190" t="n"/>
      <c r="L115" s="189" t="n"/>
      <c r="M115" s="189" t="n"/>
      <c r="N115" s="190" t="n"/>
      <c r="O115" s="190" t="n"/>
      <c r="P115" s="190" t="n"/>
      <c r="Q115" s="191" t="n"/>
      <c r="R115" s="191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n"/>
      <c r="C116" s="190" t="n"/>
      <c r="D116" s="190" t="n"/>
      <c r="E116" s="190" t="n"/>
      <c r="F116" s="190" t="n"/>
      <c r="G116" s="189" t="n"/>
      <c r="H116" s="189" t="n"/>
      <c r="I116" s="189" t="n"/>
      <c r="J116" s="190" t="n"/>
      <c r="K116" s="190" t="n"/>
      <c r="L116" s="189" t="n"/>
      <c r="M116" s="189" t="n"/>
      <c r="N116" s="190" t="n"/>
      <c r="O116" s="190" t="n"/>
      <c r="P116" s="190" t="n"/>
      <c r="Q116" s="191" t="n"/>
      <c r="R116" s="191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n"/>
      <c r="C117" s="190" t="n"/>
      <c r="D117" s="190" t="n"/>
      <c r="E117" s="190" t="n"/>
      <c r="F117" s="190" t="n"/>
      <c r="G117" s="189" t="n"/>
      <c r="H117" s="189" t="n"/>
      <c r="I117" s="189" t="n"/>
      <c r="J117" s="190" t="n"/>
      <c r="K117" s="190" t="n"/>
      <c r="L117" s="189" t="n"/>
      <c r="M117" s="189" t="n"/>
      <c r="N117" s="190" t="n"/>
      <c r="O117" s="190" t="n"/>
      <c r="P117" s="190" t="n"/>
      <c r="Q117" s="191" t="n"/>
      <c r="R117" s="191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n"/>
      <c r="C118" s="190" t="n"/>
      <c r="D118" s="190" t="n"/>
      <c r="E118" s="190" t="n"/>
      <c r="F118" s="190" t="n"/>
      <c r="G118" s="189" t="n"/>
      <c r="H118" s="189" t="n"/>
      <c r="I118" s="189" t="n"/>
      <c r="J118" s="190" t="n"/>
      <c r="K118" s="190" t="n"/>
      <c r="L118" s="189" t="n"/>
      <c r="M118" s="189" t="n"/>
      <c r="N118" s="190" t="n"/>
      <c r="O118" s="190" t="n"/>
      <c r="P118" s="190" t="n"/>
      <c r="Q118" s="191" t="n"/>
      <c r="R118" s="191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n"/>
      <c r="C119" s="190" t="n"/>
      <c r="D119" s="190" t="n"/>
      <c r="E119" s="190" t="n"/>
      <c r="F119" s="190" t="n"/>
      <c r="G119" s="189" t="n"/>
      <c r="H119" s="189" t="n"/>
      <c r="I119" s="189" t="n"/>
      <c r="J119" s="190" t="n"/>
      <c r="K119" s="190" t="n"/>
      <c r="L119" s="189" t="n"/>
      <c r="M119" s="189" t="n"/>
      <c r="N119" s="190" t="n"/>
      <c r="O119" s="190" t="n"/>
      <c r="P119" s="190" t="n"/>
      <c r="Q119" s="191" t="n"/>
      <c r="R119" s="191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n"/>
      <c r="C120" s="190" t="n"/>
      <c r="D120" s="190" t="n"/>
      <c r="E120" s="190" t="n"/>
      <c r="F120" s="190" t="n"/>
      <c r="G120" s="189" t="n"/>
      <c r="H120" s="189" t="n"/>
      <c r="I120" s="189" t="n"/>
      <c r="J120" s="190" t="n"/>
      <c r="K120" s="190" t="n"/>
      <c r="L120" s="189" t="n"/>
      <c r="M120" s="189" t="n"/>
      <c r="N120" s="190" t="n"/>
      <c r="O120" s="190" t="n"/>
      <c r="P120" s="190" t="n"/>
      <c r="Q120" s="191" t="n"/>
      <c r="R120" s="191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n"/>
      <c r="C121" s="190" t="n"/>
      <c r="D121" s="190" t="n"/>
      <c r="E121" s="190" t="n"/>
      <c r="F121" s="190" t="n"/>
      <c r="G121" s="189" t="n"/>
      <c r="H121" s="189" t="n"/>
      <c r="I121" s="189" t="n"/>
      <c r="J121" s="190" t="n"/>
      <c r="K121" s="190" t="n"/>
      <c r="L121" s="189" t="n"/>
      <c r="M121" s="189" t="n"/>
      <c r="N121" s="190" t="n"/>
      <c r="O121" s="190" t="n"/>
      <c r="P121" s="190" t="n"/>
      <c r="Q121" s="191" t="n"/>
      <c r="R121" s="191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n"/>
      <c r="C122" s="190" t="n"/>
      <c r="D122" s="190" t="n"/>
      <c r="E122" s="190" t="n"/>
      <c r="F122" s="190" t="n"/>
      <c r="G122" s="189" t="n"/>
      <c r="H122" s="189" t="n"/>
      <c r="I122" s="189" t="n"/>
      <c r="J122" s="190" t="n"/>
      <c r="K122" s="190" t="n"/>
      <c r="L122" s="189" t="n"/>
      <c r="M122" s="189" t="n"/>
      <c r="N122" s="190" t="n"/>
      <c r="O122" s="190" t="n"/>
      <c r="P122" s="190" t="n"/>
      <c r="Q122" s="191" t="n"/>
      <c r="R122" s="191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n"/>
      <c r="C123" s="190" t="n"/>
      <c r="D123" s="190" t="n"/>
      <c r="E123" s="190" t="n"/>
      <c r="F123" s="190" t="n"/>
      <c r="G123" s="189" t="n"/>
      <c r="H123" s="189" t="n"/>
      <c r="I123" s="189" t="n"/>
      <c r="J123" s="190" t="n"/>
      <c r="K123" s="190" t="n"/>
      <c r="L123" s="189" t="n"/>
      <c r="M123" s="189" t="n"/>
      <c r="N123" s="190" t="n"/>
      <c r="O123" s="190" t="n"/>
      <c r="P123" s="190" t="n"/>
      <c r="Q123" s="191" t="n"/>
      <c r="R123" s="191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n"/>
      <c r="C124" s="190" t="n"/>
      <c r="D124" s="190" t="n"/>
      <c r="E124" s="190" t="n"/>
      <c r="F124" s="190" t="n"/>
      <c r="G124" s="189" t="n"/>
      <c r="H124" s="189" t="n"/>
      <c r="I124" s="189" t="n"/>
      <c r="J124" s="190" t="n"/>
      <c r="K124" s="190" t="n"/>
      <c r="L124" s="189" t="n"/>
      <c r="M124" s="189" t="n"/>
      <c r="N124" s="190" t="n"/>
      <c r="O124" s="190" t="n"/>
      <c r="P124" s="190" t="n"/>
      <c r="Q124" s="191" t="n"/>
      <c r="R124" s="191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n"/>
      <c r="C125" s="190" t="n"/>
      <c r="D125" s="190" t="n"/>
      <c r="E125" s="190" t="n"/>
      <c r="F125" s="190" t="n"/>
      <c r="G125" s="189" t="n"/>
      <c r="H125" s="189" t="n"/>
      <c r="I125" s="189" t="n"/>
      <c r="J125" s="190" t="n"/>
      <c r="K125" s="190" t="n"/>
      <c r="L125" s="189" t="n"/>
      <c r="M125" s="189" t="n"/>
      <c r="N125" s="190" t="n"/>
      <c r="O125" s="190" t="n"/>
      <c r="P125" s="190" t="n"/>
      <c r="Q125" s="191" t="n"/>
      <c r="R125" s="191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n"/>
      <c r="C126" s="190" t="n"/>
      <c r="D126" s="190" t="n"/>
      <c r="E126" s="190" t="n"/>
      <c r="F126" s="190" t="n"/>
      <c r="G126" s="189" t="n"/>
      <c r="H126" s="189" t="n"/>
      <c r="I126" s="189" t="n"/>
      <c r="J126" s="190" t="n"/>
      <c r="K126" s="190" t="n"/>
      <c r="L126" s="189" t="n"/>
      <c r="M126" s="189" t="n"/>
      <c r="N126" s="190" t="n"/>
      <c r="O126" s="190" t="n"/>
      <c r="P126" s="190" t="n"/>
      <c r="Q126" s="191" t="n"/>
      <c r="R126" s="191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n"/>
      <c r="C127" s="190" t="n"/>
      <c r="D127" s="190" t="n"/>
      <c r="E127" s="190" t="n"/>
      <c r="F127" s="190" t="n"/>
      <c r="G127" s="189" t="n"/>
      <c r="H127" s="189" t="n"/>
      <c r="I127" s="189" t="n"/>
      <c r="J127" s="190" t="n"/>
      <c r="K127" s="190" t="n"/>
      <c r="L127" s="189" t="n"/>
      <c r="M127" s="189" t="n"/>
      <c r="N127" s="190" t="n"/>
      <c r="O127" s="190" t="n"/>
      <c r="P127" s="190" t="n"/>
      <c r="Q127" s="191" t="n"/>
      <c r="R127" s="191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n"/>
      <c r="C128" s="190" t="n"/>
      <c r="D128" s="190" t="n"/>
      <c r="E128" s="190" t="n"/>
      <c r="F128" s="190" t="n"/>
      <c r="G128" s="189" t="n"/>
      <c r="H128" s="189" t="n"/>
      <c r="I128" s="189" t="n"/>
      <c r="J128" s="190" t="n"/>
      <c r="K128" s="190" t="n"/>
      <c r="L128" s="189" t="n"/>
      <c r="M128" s="189" t="n"/>
      <c r="N128" s="190" t="n"/>
      <c r="O128" s="190" t="n"/>
      <c r="P128" s="190" t="n"/>
      <c r="Q128" s="191" t="n"/>
      <c r="R128" s="191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n"/>
      <c r="C129" s="190" t="n"/>
      <c r="D129" s="190" t="n"/>
      <c r="E129" s="190" t="n"/>
      <c r="F129" s="190" t="n"/>
      <c r="G129" s="189" t="n"/>
      <c r="H129" s="189" t="n"/>
      <c r="I129" s="189" t="n"/>
      <c r="J129" s="190" t="n"/>
      <c r="K129" s="190" t="n"/>
      <c r="L129" s="189" t="n"/>
      <c r="M129" s="189" t="n"/>
      <c r="N129" s="190" t="n"/>
      <c r="O129" s="190" t="n"/>
      <c r="P129" s="190" t="n"/>
      <c r="Q129" s="191" t="n"/>
      <c r="R129" s="191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n"/>
      <c r="C130" s="190" t="n"/>
      <c r="D130" s="190" t="n"/>
      <c r="E130" s="190" t="n"/>
      <c r="F130" s="190" t="n"/>
      <c r="G130" s="189" t="n"/>
      <c r="H130" s="189" t="n"/>
      <c r="I130" s="189" t="n"/>
      <c r="J130" s="190" t="n"/>
      <c r="K130" s="190" t="n"/>
      <c r="L130" s="189" t="n"/>
      <c r="M130" s="189" t="n"/>
      <c r="N130" s="190" t="n"/>
      <c r="O130" s="190" t="n"/>
      <c r="P130" s="190" t="n"/>
      <c r="Q130" s="191" t="n"/>
      <c r="R130" s="191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n"/>
      <c r="C131" s="190" t="n"/>
      <c r="D131" s="190" t="n"/>
      <c r="E131" s="190" t="n"/>
      <c r="F131" s="190" t="n"/>
      <c r="G131" s="189" t="n"/>
      <c r="H131" s="189" t="n"/>
      <c r="I131" s="189" t="n"/>
      <c r="J131" s="190" t="n"/>
      <c r="K131" s="190" t="n"/>
      <c r="L131" s="189" t="n"/>
      <c r="M131" s="189" t="n"/>
      <c r="N131" s="190" t="n"/>
      <c r="O131" s="190" t="n"/>
      <c r="P131" s="190" t="n"/>
      <c r="Q131" s="191" t="n"/>
      <c r="R131" s="191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n"/>
      <c r="C132" s="190" t="n"/>
      <c r="D132" s="190" t="n"/>
      <c r="E132" s="190" t="n"/>
      <c r="F132" s="190" t="n"/>
      <c r="G132" s="189" t="n"/>
      <c r="H132" s="189" t="n"/>
      <c r="I132" s="189" t="n"/>
      <c r="J132" s="190" t="n"/>
      <c r="K132" s="190" t="n"/>
      <c r="L132" s="189" t="n"/>
      <c r="M132" s="189" t="n"/>
      <c r="N132" s="190" t="n"/>
      <c r="O132" s="190" t="n"/>
      <c r="P132" s="190" t="n"/>
      <c r="Q132" s="191" t="n"/>
      <c r="R132" s="191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89" t="n"/>
      <c r="C133" s="190" t="n"/>
      <c r="D133" s="190" t="n"/>
      <c r="E133" s="190" t="n"/>
      <c r="F133" s="190" t="n"/>
      <c r="G133" s="189" t="n"/>
      <c r="H133" s="189" t="n"/>
      <c r="I133" s="189" t="n"/>
      <c r="J133" s="190" t="n"/>
      <c r="K133" s="190" t="n"/>
      <c r="L133" s="189" t="n"/>
      <c r="M133" s="189" t="n"/>
      <c r="N133" s="190" t="n"/>
      <c r="O133" s="190" t="n"/>
      <c r="P133" s="190" t="n"/>
      <c r="Q133" s="191" t="n"/>
      <c r="R133" s="191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89" t="n"/>
      <c r="C134" s="190" t="n"/>
      <c r="D134" s="190" t="n"/>
      <c r="E134" s="190" t="n"/>
      <c r="F134" s="190" t="n"/>
      <c r="G134" s="189" t="n"/>
      <c r="H134" s="189" t="n"/>
      <c r="I134" s="189" t="n"/>
      <c r="J134" s="190" t="n"/>
      <c r="K134" s="190" t="n"/>
      <c r="L134" s="189" t="n"/>
      <c r="M134" s="189" t="n"/>
      <c r="N134" s="190" t="n"/>
      <c r="O134" s="190" t="n"/>
      <c r="P134" s="190" t="n"/>
      <c r="Q134" s="191" t="n"/>
      <c r="R134" s="191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n"/>
      <c r="C135" s="190" t="n"/>
      <c r="D135" s="190" t="n"/>
      <c r="E135" s="190" t="n"/>
      <c r="F135" s="190" t="n"/>
      <c r="G135" s="189" t="n"/>
      <c r="H135" s="189" t="n"/>
      <c r="I135" s="189" t="n"/>
      <c r="J135" s="190" t="n"/>
      <c r="K135" s="190" t="n"/>
      <c r="L135" s="189" t="n"/>
      <c r="M135" s="189" t="n"/>
      <c r="N135" s="190" t="n"/>
      <c r="O135" s="190" t="n"/>
      <c r="P135" s="190" t="n"/>
      <c r="Q135" s="191" t="n"/>
      <c r="R135" s="191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n"/>
      <c r="C136" s="190" t="n"/>
      <c r="D136" s="190" t="n"/>
      <c r="E136" s="190" t="n"/>
      <c r="F136" s="190" t="n"/>
      <c r="G136" s="189" t="n"/>
      <c r="H136" s="189" t="n"/>
      <c r="I136" s="189" t="n"/>
      <c r="J136" s="190" t="n"/>
      <c r="K136" s="190" t="n"/>
      <c r="L136" s="189" t="n"/>
      <c r="M136" s="189" t="n"/>
      <c r="N136" s="190" t="n"/>
      <c r="O136" s="190" t="n"/>
      <c r="P136" s="190" t="n"/>
      <c r="Q136" s="191" t="n"/>
      <c r="R136" s="191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n"/>
      <c r="C137" s="190" t="n"/>
      <c r="D137" s="190" t="n"/>
      <c r="E137" s="190" t="n"/>
      <c r="F137" s="190" t="n"/>
      <c r="G137" s="189" t="n"/>
      <c r="H137" s="189" t="n"/>
      <c r="I137" s="189" t="n"/>
      <c r="J137" s="190" t="n"/>
      <c r="K137" s="190" t="n"/>
      <c r="L137" s="189" t="n"/>
      <c r="M137" s="189" t="n"/>
      <c r="N137" s="190" t="n"/>
      <c r="O137" s="190" t="n"/>
      <c r="P137" s="190" t="n"/>
      <c r="Q137" s="191" t="n"/>
      <c r="R137" s="191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n"/>
      <c r="C138" s="190" t="n"/>
      <c r="D138" s="190" t="n"/>
      <c r="E138" s="190" t="n"/>
      <c r="F138" s="190" t="n"/>
      <c r="G138" s="189" t="n"/>
      <c r="H138" s="189" t="n"/>
      <c r="I138" s="189" t="n"/>
      <c r="J138" s="190" t="n"/>
      <c r="K138" s="190" t="n"/>
      <c r="L138" s="189" t="n"/>
      <c r="M138" s="189" t="n"/>
      <c r="N138" s="190" t="n"/>
      <c r="O138" s="190" t="n"/>
      <c r="P138" s="190" t="n"/>
      <c r="Q138" s="191" t="n"/>
      <c r="R138" s="191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n"/>
      <c r="C139" s="190" t="n"/>
      <c r="D139" s="190" t="n"/>
      <c r="E139" s="190" t="n"/>
      <c r="F139" s="190" t="n"/>
      <c r="G139" s="189" t="n"/>
      <c r="H139" s="189" t="n"/>
      <c r="I139" s="189" t="n"/>
      <c r="J139" s="190" t="n"/>
      <c r="K139" s="190" t="n"/>
      <c r="L139" s="189" t="n"/>
      <c r="M139" s="189" t="n"/>
      <c r="N139" s="190" t="n"/>
      <c r="O139" s="190" t="n"/>
      <c r="P139" s="190" t="n"/>
      <c r="Q139" s="191" t="n"/>
      <c r="R139" s="191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n"/>
      <c r="C140" s="190" t="n"/>
      <c r="D140" s="190" t="n"/>
      <c r="E140" s="190" t="n"/>
      <c r="F140" s="190" t="n"/>
      <c r="G140" s="189" t="n"/>
      <c r="H140" s="189" t="n"/>
      <c r="I140" s="189" t="n"/>
      <c r="J140" s="190" t="n"/>
      <c r="K140" s="190" t="n"/>
      <c r="L140" s="189" t="n"/>
      <c r="M140" s="189" t="n"/>
      <c r="N140" s="190" t="n"/>
      <c r="O140" s="190" t="n"/>
      <c r="P140" s="190" t="n"/>
      <c r="Q140" s="191" t="n"/>
      <c r="R140" s="191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n"/>
      <c r="C141" s="190" t="n"/>
      <c r="D141" s="190" t="n"/>
      <c r="E141" s="190" t="n"/>
      <c r="F141" s="190" t="n"/>
      <c r="G141" s="189" t="n"/>
      <c r="H141" s="189" t="n"/>
      <c r="I141" s="189" t="n"/>
      <c r="J141" s="190" t="n"/>
      <c r="K141" s="190" t="n"/>
      <c r="L141" s="189" t="n"/>
      <c r="M141" s="189" t="n"/>
      <c r="N141" s="190" t="n"/>
      <c r="O141" s="190" t="n"/>
      <c r="P141" s="190" t="n"/>
      <c r="Q141" s="191" t="n"/>
      <c r="R141" s="191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n"/>
      <c r="C142" s="190" t="n"/>
      <c r="D142" s="190" t="n"/>
      <c r="E142" s="190" t="n"/>
      <c r="F142" s="190" t="n"/>
      <c r="G142" s="189" t="n"/>
      <c r="H142" s="189" t="n"/>
      <c r="I142" s="189" t="n"/>
      <c r="J142" s="190" t="n"/>
      <c r="K142" s="190" t="n"/>
      <c r="L142" s="189" t="n"/>
      <c r="M142" s="189" t="n"/>
      <c r="N142" s="190" t="n"/>
      <c r="O142" s="190" t="n"/>
      <c r="P142" s="190" t="n"/>
      <c r="Q142" s="191" t="n"/>
      <c r="R142" s="191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n"/>
      <c r="C143" s="190" t="n"/>
      <c r="D143" s="190" t="n"/>
      <c r="E143" s="190" t="n"/>
      <c r="F143" s="190" t="n"/>
      <c r="G143" s="189" t="n"/>
      <c r="H143" s="189" t="n"/>
      <c r="I143" s="189" t="n"/>
      <c r="J143" s="190" t="n"/>
      <c r="K143" s="190" t="n"/>
      <c r="L143" s="189" t="n"/>
      <c r="M143" s="189" t="n"/>
      <c r="N143" s="190" t="n"/>
      <c r="O143" s="190" t="n"/>
      <c r="P143" s="190" t="n"/>
      <c r="Q143" s="191" t="n"/>
      <c r="R143" s="191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n"/>
      <c r="C144" s="190" t="n"/>
      <c r="D144" s="190" t="n"/>
      <c r="E144" s="190" t="n"/>
      <c r="F144" s="190" t="n"/>
      <c r="G144" s="189" t="n"/>
      <c r="H144" s="189" t="n"/>
      <c r="I144" s="189" t="n"/>
      <c r="J144" s="190" t="n"/>
      <c r="K144" s="190" t="n"/>
      <c r="L144" s="189" t="n"/>
      <c r="M144" s="189" t="n"/>
      <c r="N144" s="190" t="n"/>
      <c r="O144" s="190" t="n"/>
      <c r="P144" s="190" t="n"/>
      <c r="Q144" s="191" t="n"/>
      <c r="R144" s="191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n"/>
      <c r="C145" s="190" t="n"/>
      <c r="D145" s="190" t="n"/>
      <c r="E145" s="190" t="n"/>
      <c r="F145" s="190" t="n"/>
      <c r="G145" s="189" t="n"/>
      <c r="H145" s="189" t="n"/>
      <c r="I145" s="189" t="n"/>
      <c r="J145" s="190" t="n"/>
      <c r="K145" s="190" t="n"/>
      <c r="L145" s="189" t="n"/>
      <c r="M145" s="189" t="n"/>
      <c r="N145" s="190" t="n"/>
      <c r="O145" s="190" t="n"/>
      <c r="P145" s="190" t="n"/>
      <c r="Q145" s="191" t="n"/>
      <c r="R145" s="191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n"/>
      <c r="C146" s="190" t="n"/>
      <c r="D146" s="190" t="n"/>
      <c r="E146" s="190" t="n"/>
      <c r="F146" s="190" t="n"/>
      <c r="G146" s="189" t="n"/>
      <c r="H146" s="189" t="n"/>
      <c r="I146" s="189" t="n"/>
      <c r="J146" s="190" t="n"/>
      <c r="K146" s="190" t="n"/>
      <c r="L146" s="189" t="n"/>
      <c r="M146" s="189" t="n"/>
      <c r="N146" s="190" t="n"/>
      <c r="O146" s="190" t="n"/>
      <c r="P146" s="190" t="n"/>
      <c r="Q146" s="191" t="n"/>
      <c r="R146" s="191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n"/>
      <c r="C147" s="190" t="n"/>
      <c r="D147" s="190" t="n"/>
      <c r="E147" s="190" t="n"/>
      <c r="F147" s="190" t="n"/>
      <c r="G147" s="189" t="n"/>
      <c r="H147" s="189" t="n"/>
      <c r="I147" s="189" t="n"/>
      <c r="J147" s="190" t="n"/>
      <c r="K147" s="190" t="n"/>
      <c r="L147" s="189" t="n"/>
      <c r="M147" s="189" t="n"/>
      <c r="N147" s="190" t="n"/>
      <c r="O147" s="190" t="n"/>
      <c r="P147" s="190" t="n"/>
      <c r="Q147" s="191" t="n"/>
      <c r="R147" s="191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n"/>
      <c r="C148" s="190" t="n"/>
      <c r="D148" s="190" t="n"/>
      <c r="E148" s="190" t="n"/>
      <c r="F148" s="190" t="n"/>
      <c r="G148" s="189" t="n"/>
      <c r="H148" s="189" t="n"/>
      <c r="I148" s="189" t="n"/>
      <c r="J148" s="190" t="n"/>
      <c r="K148" s="190" t="n"/>
      <c r="L148" s="189" t="n"/>
      <c r="M148" s="189" t="n"/>
      <c r="N148" s="190" t="n"/>
      <c r="O148" s="190" t="n"/>
      <c r="P148" s="190" t="n"/>
      <c r="Q148" s="191" t="n"/>
      <c r="R148" s="191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n"/>
      <c r="C149" s="190" t="n"/>
      <c r="D149" s="190" t="n"/>
      <c r="E149" s="190" t="n"/>
      <c r="F149" s="190" t="n"/>
      <c r="G149" s="189" t="n"/>
      <c r="H149" s="189" t="n"/>
      <c r="I149" s="189" t="n"/>
      <c r="J149" s="190" t="n"/>
      <c r="K149" s="190" t="n"/>
      <c r="L149" s="189" t="n"/>
      <c r="M149" s="189" t="n"/>
      <c r="N149" s="190" t="n"/>
      <c r="O149" s="190" t="n"/>
      <c r="P149" s="190" t="n"/>
      <c r="Q149" s="191" t="n"/>
      <c r="R149" s="191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n"/>
      <c r="C150" s="190" t="n"/>
      <c r="D150" s="190" t="n"/>
      <c r="E150" s="190" t="n"/>
      <c r="F150" s="190" t="n"/>
      <c r="G150" s="189" t="n"/>
      <c r="H150" s="189" t="n"/>
      <c r="I150" s="189" t="n"/>
      <c r="J150" s="190" t="n"/>
      <c r="K150" s="190" t="n"/>
      <c r="L150" s="189" t="n"/>
      <c r="M150" s="189" t="n"/>
      <c r="N150" s="190" t="n"/>
      <c r="O150" s="190" t="n"/>
      <c r="P150" s="190" t="n"/>
      <c r="Q150" s="191" t="n"/>
      <c r="R150" s="191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n"/>
      <c r="C151" s="190" t="n"/>
      <c r="D151" s="190" t="n"/>
      <c r="E151" s="190" t="n"/>
      <c r="F151" s="190" t="n"/>
      <c r="G151" s="189" t="n"/>
      <c r="H151" s="189" t="n"/>
      <c r="I151" s="189" t="n"/>
      <c r="J151" s="190" t="n"/>
      <c r="K151" s="190" t="n"/>
      <c r="L151" s="189" t="n"/>
      <c r="M151" s="189" t="n"/>
      <c r="N151" s="190" t="n"/>
      <c r="O151" s="190" t="n"/>
      <c r="P151" s="190" t="n"/>
      <c r="Q151" s="191" t="n"/>
      <c r="R151" s="191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n"/>
      <c r="C152" s="190" t="n"/>
      <c r="D152" s="190" t="n"/>
      <c r="E152" s="190" t="n"/>
      <c r="F152" s="190" t="n"/>
      <c r="G152" s="189" t="n"/>
      <c r="H152" s="189" t="n"/>
      <c r="I152" s="189" t="n"/>
      <c r="J152" s="190" t="n"/>
      <c r="K152" s="190" t="n"/>
      <c r="L152" s="189" t="n"/>
      <c r="M152" s="189" t="n"/>
      <c r="N152" s="190" t="n"/>
      <c r="O152" s="190" t="n"/>
      <c r="P152" s="190" t="n"/>
      <c r="Q152" s="191" t="n"/>
      <c r="R152" s="191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89" t="n"/>
      <c r="C153" s="190" t="n"/>
      <c r="D153" s="190" t="n"/>
      <c r="E153" s="190" t="n"/>
      <c r="F153" s="190" t="n"/>
      <c r="G153" s="189" t="n"/>
      <c r="H153" s="189" t="n"/>
      <c r="I153" s="189" t="n"/>
      <c r="J153" s="190" t="n"/>
      <c r="K153" s="190" t="n"/>
      <c r="L153" s="189" t="n"/>
      <c r="M153" s="189" t="n"/>
      <c r="N153" s="190" t="n"/>
      <c r="O153" s="190" t="n"/>
      <c r="P153" s="190" t="n"/>
      <c r="Q153" s="191" t="n"/>
      <c r="R153" s="191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89" t="n"/>
      <c r="C154" s="190" t="n"/>
      <c r="D154" s="190" t="n"/>
      <c r="E154" s="190" t="n"/>
      <c r="F154" s="190" t="n"/>
      <c r="G154" s="189" t="n"/>
      <c r="H154" s="189" t="n"/>
      <c r="I154" s="189" t="n"/>
      <c r="J154" s="190" t="n"/>
      <c r="K154" s="190" t="n"/>
      <c r="L154" s="189" t="n"/>
      <c r="M154" s="189" t="n"/>
      <c r="N154" s="190" t="n"/>
      <c r="O154" s="190" t="n"/>
      <c r="P154" s="190" t="n"/>
      <c r="Q154" s="191" t="n"/>
      <c r="R154" s="191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n"/>
      <c r="C155" s="190" t="n"/>
      <c r="D155" s="190" t="n"/>
      <c r="E155" s="190" t="n"/>
      <c r="F155" s="190" t="n"/>
      <c r="G155" s="189" t="n"/>
      <c r="H155" s="189" t="n"/>
      <c r="I155" s="189" t="n"/>
      <c r="J155" s="190" t="n"/>
      <c r="K155" s="190" t="n"/>
      <c r="L155" s="189" t="n"/>
      <c r="M155" s="189" t="n"/>
      <c r="N155" s="190" t="n"/>
      <c r="O155" s="190" t="n"/>
      <c r="P155" s="190" t="n"/>
      <c r="Q155" s="191" t="n"/>
      <c r="R155" s="191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n"/>
      <c r="C156" s="190" t="n"/>
      <c r="D156" s="190" t="n"/>
      <c r="E156" s="190" t="n"/>
      <c r="F156" s="190" t="n"/>
      <c r="G156" s="189" t="n"/>
      <c r="H156" s="189" t="n"/>
      <c r="I156" s="189" t="n"/>
      <c r="J156" s="190" t="n"/>
      <c r="K156" s="190" t="n"/>
      <c r="L156" s="189" t="n"/>
      <c r="M156" s="189" t="n"/>
      <c r="N156" s="190" t="n"/>
      <c r="O156" s="190" t="n"/>
      <c r="P156" s="190" t="n"/>
      <c r="Q156" s="191" t="n"/>
      <c r="R156" s="191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n"/>
      <c r="C157" s="190" t="n"/>
      <c r="D157" s="190" t="n"/>
      <c r="E157" s="190" t="n"/>
      <c r="F157" s="190" t="n"/>
      <c r="G157" s="189" t="n"/>
      <c r="H157" s="189" t="n"/>
      <c r="I157" s="189" t="n"/>
      <c r="J157" s="190" t="n"/>
      <c r="K157" s="190" t="n"/>
      <c r="L157" s="189" t="n"/>
      <c r="M157" s="189" t="n"/>
      <c r="N157" s="190" t="n"/>
      <c r="O157" s="190" t="n"/>
      <c r="P157" s="190" t="n"/>
      <c r="Q157" s="191" t="n"/>
      <c r="R157" s="191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n"/>
      <c r="C158" s="190" t="n"/>
      <c r="D158" s="190" t="n"/>
      <c r="E158" s="190" t="n"/>
      <c r="F158" s="190" t="n"/>
      <c r="G158" s="189" t="n"/>
      <c r="H158" s="189" t="n"/>
      <c r="I158" s="189" t="n"/>
      <c r="J158" s="190" t="n"/>
      <c r="K158" s="190" t="n"/>
      <c r="L158" s="189" t="n"/>
      <c r="M158" s="189" t="n"/>
      <c r="N158" s="190" t="n"/>
      <c r="O158" s="190" t="n"/>
      <c r="P158" s="190" t="n"/>
      <c r="Q158" s="191" t="n"/>
      <c r="R158" s="191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n"/>
      <c r="C159" s="190" t="n"/>
      <c r="D159" s="190" t="n"/>
      <c r="E159" s="190" t="n"/>
      <c r="F159" s="190" t="n"/>
      <c r="G159" s="189" t="n"/>
      <c r="H159" s="189" t="n"/>
      <c r="I159" s="189" t="n"/>
      <c r="J159" s="190" t="n"/>
      <c r="K159" s="190" t="n"/>
      <c r="L159" s="189" t="n"/>
      <c r="M159" s="189" t="n"/>
      <c r="N159" s="190" t="n"/>
      <c r="O159" s="190" t="n"/>
      <c r="P159" s="190" t="n"/>
      <c r="Q159" s="191" t="n"/>
      <c r="R159" s="191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n"/>
      <c r="C160" s="190" t="n"/>
      <c r="D160" s="190" t="n"/>
      <c r="E160" s="190" t="n"/>
      <c r="F160" s="190" t="n"/>
      <c r="G160" s="189" t="n"/>
      <c r="H160" s="189" t="n"/>
      <c r="I160" s="189" t="n"/>
      <c r="J160" s="190" t="n"/>
      <c r="K160" s="190" t="n"/>
      <c r="L160" s="189" t="n"/>
      <c r="M160" s="189" t="n"/>
      <c r="N160" s="190" t="n"/>
      <c r="O160" s="190" t="n"/>
      <c r="P160" s="190" t="n"/>
      <c r="Q160" s="191" t="n"/>
      <c r="R160" s="191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n"/>
      <c r="C161" s="190" t="n"/>
      <c r="D161" s="190" t="n"/>
      <c r="E161" s="190" t="n"/>
      <c r="F161" s="190" t="n"/>
      <c r="G161" s="189" t="n"/>
      <c r="H161" s="189" t="n"/>
      <c r="I161" s="189" t="n"/>
      <c r="J161" s="190" t="n"/>
      <c r="K161" s="190" t="n"/>
      <c r="L161" s="189" t="n"/>
      <c r="M161" s="189" t="n"/>
      <c r="N161" s="190" t="n"/>
      <c r="O161" s="190" t="n"/>
      <c r="P161" s="190" t="n"/>
      <c r="Q161" s="191" t="n"/>
      <c r="R161" s="191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n"/>
      <c r="C162" s="190" t="n"/>
      <c r="D162" s="190" t="n"/>
      <c r="E162" s="190" t="n"/>
      <c r="F162" s="190" t="n"/>
      <c r="G162" s="189" t="n"/>
      <c r="H162" s="189" t="n"/>
      <c r="I162" s="189" t="n"/>
      <c r="J162" s="190" t="n"/>
      <c r="K162" s="190" t="n"/>
      <c r="L162" s="189" t="n"/>
      <c r="M162" s="189" t="n"/>
      <c r="N162" s="190" t="n"/>
      <c r="O162" s="190" t="n"/>
      <c r="P162" s="190" t="n"/>
      <c r="Q162" s="191" t="n"/>
      <c r="R162" s="191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n"/>
      <c r="C163" s="190" t="n"/>
      <c r="D163" s="190" t="n"/>
      <c r="E163" s="190" t="n"/>
      <c r="F163" s="190" t="n"/>
      <c r="G163" s="189" t="n"/>
      <c r="H163" s="189" t="n"/>
      <c r="I163" s="189" t="n"/>
      <c r="J163" s="190" t="n"/>
      <c r="K163" s="190" t="n"/>
      <c r="L163" s="189" t="n"/>
      <c r="M163" s="189" t="n"/>
      <c r="N163" s="190" t="n"/>
      <c r="O163" s="190" t="n"/>
      <c r="P163" s="190" t="n"/>
      <c r="Q163" s="191" t="n"/>
      <c r="R163" s="191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n"/>
      <c r="C164" s="190" t="n"/>
      <c r="D164" s="190" t="n"/>
      <c r="E164" s="190" t="n"/>
      <c r="F164" s="190" t="n"/>
      <c r="G164" s="189" t="n"/>
      <c r="H164" s="189" t="n"/>
      <c r="I164" s="189" t="n"/>
      <c r="J164" s="190" t="n"/>
      <c r="K164" s="190" t="n"/>
      <c r="L164" s="189" t="n"/>
      <c r="M164" s="189" t="n"/>
      <c r="N164" s="190" t="n"/>
      <c r="O164" s="190" t="n"/>
      <c r="P164" s="190" t="n"/>
      <c r="Q164" s="191" t="n"/>
      <c r="R164" s="191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n"/>
      <c r="C165" s="190" t="n"/>
      <c r="D165" s="190" t="n"/>
      <c r="E165" s="190" t="n"/>
      <c r="F165" s="190" t="n"/>
      <c r="G165" s="189" t="n"/>
      <c r="H165" s="189" t="n"/>
      <c r="I165" s="189" t="n"/>
      <c r="J165" s="190" t="n"/>
      <c r="K165" s="190" t="n"/>
      <c r="L165" s="189" t="n"/>
      <c r="M165" s="189" t="n"/>
      <c r="N165" s="190" t="n"/>
      <c r="O165" s="190" t="n"/>
      <c r="P165" s="190" t="n"/>
      <c r="Q165" s="191" t="n"/>
      <c r="R165" s="191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n"/>
      <c r="C166" s="190" t="n"/>
      <c r="D166" s="190" t="n"/>
      <c r="E166" s="190" t="n"/>
      <c r="F166" s="190" t="n"/>
      <c r="G166" s="189" t="n"/>
      <c r="H166" s="189" t="n"/>
      <c r="I166" s="189" t="n"/>
      <c r="J166" s="190" t="n"/>
      <c r="K166" s="190" t="n"/>
      <c r="L166" s="189" t="n"/>
      <c r="M166" s="189" t="n"/>
      <c r="N166" s="190" t="n"/>
      <c r="O166" s="190" t="n"/>
      <c r="P166" s="190" t="n"/>
      <c r="Q166" s="191" t="n"/>
      <c r="R166" s="191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n"/>
      <c r="C167" s="190" t="n"/>
      <c r="D167" s="190" t="n"/>
      <c r="E167" s="190" t="n"/>
      <c r="F167" s="190" t="n"/>
      <c r="G167" s="189" t="n"/>
      <c r="H167" s="189" t="n"/>
      <c r="I167" s="189" t="n"/>
      <c r="J167" s="190" t="n"/>
      <c r="K167" s="190" t="n"/>
      <c r="L167" s="189" t="n"/>
      <c r="M167" s="189" t="n"/>
      <c r="N167" s="190" t="n"/>
      <c r="O167" s="190" t="n"/>
      <c r="P167" s="190" t="n"/>
      <c r="Q167" s="191" t="n"/>
      <c r="R167" s="191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n"/>
      <c r="C168" s="190" t="n"/>
      <c r="D168" s="190" t="n"/>
      <c r="E168" s="190" t="n"/>
      <c r="F168" s="190" t="n"/>
      <c r="G168" s="189" t="n"/>
      <c r="H168" s="189" t="n"/>
      <c r="I168" s="189" t="n"/>
      <c r="J168" s="190" t="n"/>
      <c r="K168" s="190" t="n"/>
      <c r="L168" s="189" t="n"/>
      <c r="M168" s="189" t="n"/>
      <c r="N168" s="190" t="n"/>
      <c r="O168" s="190" t="n"/>
      <c r="P168" s="190" t="n"/>
      <c r="Q168" s="191" t="n"/>
      <c r="R168" s="191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n"/>
      <c r="C169" s="190" t="n"/>
      <c r="D169" s="190" t="n"/>
      <c r="E169" s="190" t="n"/>
      <c r="F169" s="190" t="n"/>
      <c r="G169" s="189" t="n"/>
      <c r="H169" s="189" t="n"/>
      <c r="I169" s="189" t="n"/>
      <c r="J169" s="190" t="n"/>
      <c r="K169" s="190" t="n"/>
      <c r="L169" s="189" t="n"/>
      <c r="M169" s="189" t="n"/>
      <c r="N169" s="190" t="n"/>
      <c r="O169" s="190" t="n"/>
      <c r="P169" s="190" t="n"/>
      <c r="Q169" s="191" t="n"/>
      <c r="R169" s="191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n"/>
      <c r="C170" s="190" t="n"/>
      <c r="D170" s="190" t="n"/>
      <c r="E170" s="190" t="n"/>
      <c r="F170" s="190" t="n"/>
      <c r="G170" s="189" t="n"/>
      <c r="H170" s="189" t="n"/>
      <c r="I170" s="189" t="n"/>
      <c r="J170" s="190" t="n"/>
      <c r="K170" s="190" t="n"/>
      <c r="L170" s="189" t="n"/>
      <c r="M170" s="189" t="n"/>
      <c r="N170" s="190" t="n"/>
      <c r="O170" s="190" t="n"/>
      <c r="P170" s="190" t="n"/>
      <c r="Q170" s="191" t="n"/>
      <c r="R170" s="191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n"/>
      <c r="C171" s="190" t="n"/>
      <c r="D171" s="190" t="n"/>
      <c r="E171" s="190" t="n"/>
      <c r="F171" s="190" t="n"/>
      <c r="G171" s="189" t="n"/>
      <c r="H171" s="189" t="n"/>
      <c r="I171" s="189" t="n"/>
      <c r="J171" s="190" t="n"/>
      <c r="K171" s="190" t="n"/>
      <c r="L171" s="189" t="n"/>
      <c r="M171" s="189" t="n"/>
      <c r="N171" s="190" t="n"/>
      <c r="O171" s="190" t="n"/>
      <c r="P171" s="190" t="n"/>
      <c r="Q171" s="191" t="n"/>
      <c r="R171" s="191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n"/>
      <c r="C172" s="190" t="n"/>
      <c r="D172" s="190" t="n"/>
      <c r="E172" s="190" t="n"/>
      <c r="F172" s="190" t="n"/>
      <c r="G172" s="189" t="n"/>
      <c r="H172" s="189" t="n"/>
      <c r="I172" s="189" t="n"/>
      <c r="J172" s="190" t="n"/>
      <c r="K172" s="190" t="n"/>
      <c r="L172" s="189" t="n"/>
      <c r="M172" s="189" t="n"/>
      <c r="N172" s="190" t="n"/>
      <c r="O172" s="190" t="n"/>
      <c r="P172" s="190" t="n"/>
      <c r="Q172" s="191" t="n"/>
      <c r="R172" s="191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n"/>
      <c r="C173" s="190" t="n"/>
      <c r="D173" s="190" t="n"/>
      <c r="E173" s="190" t="n"/>
      <c r="F173" s="190" t="n"/>
      <c r="G173" s="189" t="n"/>
      <c r="H173" s="189" t="n"/>
      <c r="I173" s="189" t="n"/>
      <c r="J173" s="190" t="n"/>
      <c r="K173" s="190" t="n"/>
      <c r="L173" s="189" t="n"/>
      <c r="M173" s="189" t="n"/>
      <c r="N173" s="190" t="n"/>
      <c r="O173" s="190" t="n"/>
      <c r="P173" s="190" t="n"/>
      <c r="Q173" s="191" t="n"/>
      <c r="R173" s="191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n"/>
      <c r="C174" s="190" t="n"/>
      <c r="D174" s="190" t="n"/>
      <c r="E174" s="190" t="n"/>
      <c r="F174" s="190" t="n"/>
      <c r="G174" s="189" t="n"/>
      <c r="H174" s="189" t="n"/>
      <c r="I174" s="189" t="n"/>
      <c r="J174" s="190" t="n"/>
      <c r="K174" s="190" t="n"/>
      <c r="L174" s="189" t="n"/>
      <c r="M174" s="189" t="n"/>
      <c r="N174" s="190" t="n"/>
      <c r="O174" s="190" t="n"/>
      <c r="P174" s="190" t="n"/>
      <c r="Q174" s="191" t="n"/>
      <c r="R174" s="191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n"/>
      <c r="C175" s="190" t="n"/>
      <c r="D175" s="190" t="n"/>
      <c r="E175" s="190" t="n"/>
      <c r="F175" s="190" t="n"/>
      <c r="G175" s="189" t="n"/>
      <c r="H175" s="189" t="n"/>
      <c r="I175" s="189" t="n"/>
      <c r="J175" s="190" t="n"/>
      <c r="K175" s="190" t="n"/>
      <c r="L175" s="189" t="n"/>
      <c r="M175" s="189" t="n"/>
      <c r="N175" s="190" t="n"/>
      <c r="O175" s="190" t="n"/>
      <c r="P175" s="190" t="n"/>
      <c r="Q175" s="191" t="n"/>
      <c r="R175" s="191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n"/>
      <c r="C176" s="190" t="n"/>
      <c r="D176" s="190" t="n"/>
      <c r="E176" s="190" t="n"/>
      <c r="F176" s="190" t="n"/>
      <c r="G176" s="189" t="n"/>
      <c r="H176" s="189" t="n"/>
      <c r="I176" s="189" t="n"/>
      <c r="J176" s="190" t="n"/>
      <c r="K176" s="190" t="n"/>
      <c r="L176" s="189" t="n"/>
      <c r="M176" s="189" t="n"/>
      <c r="N176" s="190" t="n"/>
      <c r="O176" s="190" t="n"/>
      <c r="P176" s="190" t="n"/>
      <c r="Q176" s="191" t="n"/>
      <c r="R176" s="191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n"/>
      <c r="C177" s="190" t="n"/>
      <c r="D177" s="190" t="n"/>
      <c r="E177" s="190" t="n"/>
      <c r="F177" s="190" t="n"/>
      <c r="G177" s="189" t="n"/>
      <c r="H177" s="189" t="n"/>
      <c r="I177" s="189" t="n"/>
      <c r="J177" s="190" t="n"/>
      <c r="K177" s="190" t="n"/>
      <c r="L177" s="189" t="n"/>
      <c r="M177" s="189" t="n"/>
      <c r="N177" s="190" t="n"/>
      <c r="O177" s="190" t="n"/>
      <c r="P177" s="190" t="n"/>
      <c r="Q177" s="191" t="n"/>
      <c r="R177" s="191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n"/>
      <c r="C178" s="190" t="n"/>
      <c r="D178" s="190" t="n"/>
      <c r="E178" s="190" t="n"/>
      <c r="F178" s="190" t="n"/>
      <c r="G178" s="189" t="n"/>
      <c r="H178" s="189" t="n"/>
      <c r="I178" s="189" t="n"/>
      <c r="J178" s="190" t="n"/>
      <c r="K178" s="190" t="n"/>
      <c r="L178" s="189" t="n"/>
      <c r="M178" s="189" t="n"/>
      <c r="N178" s="190" t="n"/>
      <c r="O178" s="190" t="n"/>
      <c r="P178" s="190" t="n"/>
      <c r="Q178" s="191" t="n"/>
      <c r="R178" s="191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n"/>
      <c r="C179" s="190" t="n"/>
      <c r="D179" s="190" t="n"/>
      <c r="E179" s="190" t="n"/>
      <c r="F179" s="190" t="n"/>
      <c r="G179" s="189" t="n"/>
      <c r="H179" s="189" t="n"/>
      <c r="I179" s="189" t="n"/>
      <c r="J179" s="190" t="n"/>
      <c r="K179" s="190" t="n"/>
      <c r="L179" s="189" t="n"/>
      <c r="M179" s="189" t="n"/>
      <c r="N179" s="190" t="n"/>
      <c r="O179" s="190" t="n"/>
      <c r="P179" s="190" t="n"/>
      <c r="Q179" s="191" t="n"/>
      <c r="R179" s="191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n"/>
      <c r="C180" s="190" t="n"/>
      <c r="D180" s="190" t="n"/>
      <c r="E180" s="190" t="n"/>
      <c r="F180" s="190" t="n"/>
      <c r="G180" s="189" t="n"/>
      <c r="H180" s="189" t="n"/>
      <c r="I180" s="189" t="n"/>
      <c r="J180" s="190" t="n"/>
      <c r="K180" s="190" t="n"/>
      <c r="L180" s="189" t="n"/>
      <c r="M180" s="189" t="n"/>
      <c r="N180" s="190" t="n"/>
      <c r="O180" s="190" t="n"/>
      <c r="P180" s="190" t="n"/>
      <c r="Q180" s="191" t="n"/>
      <c r="R180" s="191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n"/>
      <c r="C181" s="190" t="n"/>
      <c r="D181" s="190" t="n"/>
      <c r="E181" s="190" t="n"/>
      <c r="F181" s="190" t="n"/>
      <c r="G181" s="189" t="n"/>
      <c r="H181" s="189" t="n"/>
      <c r="I181" s="189" t="n"/>
      <c r="J181" s="190" t="n"/>
      <c r="K181" s="190" t="n"/>
      <c r="L181" s="189" t="n"/>
      <c r="M181" s="189" t="n"/>
      <c r="N181" s="190" t="n"/>
      <c r="O181" s="190" t="n"/>
      <c r="P181" s="190" t="n"/>
      <c r="Q181" s="191" t="n"/>
      <c r="R181" s="191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n"/>
      <c r="C182" s="190" t="n"/>
      <c r="D182" s="190" t="n"/>
      <c r="E182" s="190" t="n"/>
      <c r="F182" s="190" t="n"/>
      <c r="G182" s="189" t="n"/>
      <c r="H182" s="189" t="n"/>
      <c r="I182" s="189" t="n"/>
      <c r="J182" s="190" t="n"/>
      <c r="K182" s="190" t="n"/>
      <c r="L182" s="189" t="n"/>
      <c r="M182" s="189" t="n"/>
      <c r="N182" s="190" t="n"/>
      <c r="O182" s="190" t="n"/>
      <c r="P182" s="190" t="n"/>
      <c r="Q182" s="191" t="n"/>
      <c r="R182" s="191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n"/>
      <c r="C183" s="190" t="n"/>
      <c r="D183" s="190" t="n"/>
      <c r="E183" s="190" t="n"/>
      <c r="F183" s="190" t="n"/>
      <c r="G183" s="189" t="n"/>
      <c r="H183" s="189" t="n"/>
      <c r="I183" s="189" t="n"/>
      <c r="J183" s="190" t="n"/>
      <c r="K183" s="190" t="n"/>
      <c r="L183" s="189" t="n"/>
      <c r="M183" s="189" t="n"/>
      <c r="N183" s="190" t="n"/>
      <c r="O183" s="190" t="n"/>
      <c r="P183" s="190" t="n"/>
      <c r="Q183" s="191" t="n"/>
      <c r="R183" s="191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n"/>
      <c r="C184" s="190" t="n"/>
      <c r="D184" s="190" t="n"/>
      <c r="E184" s="190" t="n"/>
      <c r="F184" s="190" t="n"/>
      <c r="G184" s="189" t="n"/>
      <c r="H184" s="189" t="n"/>
      <c r="I184" s="189" t="n"/>
      <c r="J184" s="190" t="n"/>
      <c r="K184" s="190" t="n"/>
      <c r="L184" s="189" t="n"/>
      <c r="M184" s="189" t="n"/>
      <c r="N184" s="190" t="n"/>
      <c r="O184" s="190" t="n"/>
      <c r="P184" s="190" t="n"/>
      <c r="Q184" s="191" t="n"/>
      <c r="R184" s="191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n"/>
      <c r="C185" s="190" t="n"/>
      <c r="D185" s="190" t="n"/>
      <c r="E185" s="190" t="n"/>
      <c r="F185" s="190" t="n"/>
      <c r="G185" s="189" t="n"/>
      <c r="H185" s="189" t="n"/>
      <c r="I185" s="189" t="n"/>
      <c r="J185" s="190" t="n"/>
      <c r="K185" s="190" t="n"/>
      <c r="L185" s="189" t="n"/>
      <c r="M185" s="189" t="n"/>
      <c r="N185" s="190" t="n"/>
      <c r="O185" s="190" t="n"/>
      <c r="P185" s="190" t="n"/>
      <c r="Q185" s="191" t="n"/>
      <c r="R185" s="191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n"/>
      <c r="C186" s="190" t="n"/>
      <c r="D186" s="190" t="n"/>
      <c r="E186" s="190" t="n"/>
      <c r="F186" s="190" t="n"/>
      <c r="G186" s="189" t="n"/>
      <c r="H186" s="189" t="n"/>
      <c r="I186" s="189" t="n"/>
      <c r="J186" s="190" t="n"/>
      <c r="K186" s="190" t="n"/>
      <c r="L186" s="189" t="n"/>
      <c r="M186" s="189" t="n"/>
      <c r="N186" s="190" t="n"/>
      <c r="O186" s="190" t="n"/>
      <c r="P186" s="190" t="n"/>
      <c r="Q186" s="191" t="n"/>
      <c r="R186" s="191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n"/>
      <c r="C187" s="190" t="n"/>
      <c r="D187" s="190" t="n"/>
      <c r="E187" s="190" t="n"/>
      <c r="F187" s="190" t="n"/>
      <c r="G187" s="189" t="n"/>
      <c r="H187" s="189" t="n"/>
      <c r="I187" s="189" t="n"/>
      <c r="J187" s="190" t="n"/>
      <c r="K187" s="190" t="n"/>
      <c r="L187" s="189" t="n"/>
      <c r="M187" s="189" t="n"/>
      <c r="N187" s="190" t="n"/>
      <c r="O187" s="190" t="n"/>
      <c r="P187" s="190" t="n"/>
      <c r="Q187" s="191" t="n"/>
      <c r="R187" s="191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n"/>
      <c r="C188" s="190" t="n"/>
      <c r="D188" s="190" t="n"/>
      <c r="E188" s="190" t="n"/>
      <c r="F188" s="190" t="n"/>
      <c r="G188" s="189" t="n"/>
      <c r="H188" s="189" t="n"/>
      <c r="I188" s="189" t="n"/>
      <c r="J188" s="190" t="n"/>
      <c r="K188" s="190" t="n"/>
      <c r="L188" s="189" t="n"/>
      <c r="M188" s="189" t="n"/>
      <c r="N188" s="190" t="n"/>
      <c r="O188" s="190" t="n"/>
      <c r="P188" s="190" t="n"/>
      <c r="Q188" s="191" t="n"/>
      <c r="R188" s="191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n"/>
      <c r="C189" s="190" t="n"/>
      <c r="D189" s="190" t="n"/>
      <c r="E189" s="190" t="n"/>
      <c r="F189" s="190" t="n"/>
      <c r="G189" s="189" t="n"/>
      <c r="H189" s="189" t="n"/>
      <c r="I189" s="189" t="n"/>
      <c r="J189" s="190" t="n"/>
      <c r="K189" s="190" t="n"/>
      <c r="L189" s="189" t="n"/>
      <c r="M189" s="189" t="n"/>
      <c r="N189" s="190" t="n"/>
      <c r="O189" s="190" t="n"/>
      <c r="P189" s="190" t="n"/>
      <c r="Q189" s="191" t="n"/>
      <c r="R189" s="191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n"/>
      <c r="C190" s="190" t="n"/>
      <c r="D190" s="190" t="n"/>
      <c r="E190" s="190" t="n"/>
      <c r="F190" s="190" t="n"/>
      <c r="G190" s="189" t="n"/>
      <c r="H190" s="189" t="n"/>
      <c r="I190" s="189" t="n"/>
      <c r="J190" s="190" t="n"/>
      <c r="K190" s="190" t="n"/>
      <c r="L190" s="189" t="n"/>
      <c r="M190" s="189" t="n"/>
      <c r="N190" s="190" t="n"/>
      <c r="O190" s="190" t="n"/>
      <c r="P190" s="190" t="n"/>
      <c r="Q190" s="191" t="n"/>
      <c r="R190" s="191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n"/>
      <c r="C191" s="190" t="n"/>
      <c r="D191" s="190" t="n"/>
      <c r="E191" s="190" t="n"/>
      <c r="F191" s="190" t="n"/>
      <c r="G191" s="189" t="n"/>
      <c r="H191" s="189" t="n"/>
      <c r="I191" s="189" t="n"/>
      <c r="J191" s="190" t="n"/>
      <c r="K191" s="190" t="n"/>
      <c r="L191" s="189" t="n"/>
      <c r="M191" s="189" t="n"/>
      <c r="N191" s="190" t="n"/>
      <c r="O191" s="190" t="n"/>
      <c r="P191" s="190" t="n"/>
      <c r="Q191" s="191" t="n"/>
      <c r="R191" s="191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n"/>
      <c r="C192" s="190" t="n"/>
      <c r="D192" s="190" t="n"/>
      <c r="E192" s="190" t="n"/>
      <c r="F192" s="190" t="n"/>
      <c r="G192" s="189" t="n"/>
      <c r="H192" s="189" t="n"/>
      <c r="I192" s="189" t="n"/>
      <c r="J192" s="190" t="n"/>
      <c r="K192" s="190" t="n"/>
      <c r="L192" s="189" t="n"/>
      <c r="M192" s="189" t="n"/>
      <c r="N192" s="190" t="n"/>
      <c r="O192" s="190" t="n"/>
      <c r="P192" s="190" t="n"/>
      <c r="Q192" s="191" t="n"/>
      <c r="R192" s="191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n"/>
      <c r="C193" s="190" t="n"/>
      <c r="D193" s="190" t="n"/>
      <c r="E193" s="190" t="n"/>
      <c r="F193" s="190" t="n"/>
      <c r="G193" s="189" t="n"/>
      <c r="H193" s="189" t="n"/>
      <c r="I193" s="189" t="n"/>
      <c r="J193" s="190" t="n"/>
      <c r="K193" s="190" t="n"/>
      <c r="L193" s="189" t="n"/>
      <c r="M193" s="189" t="n"/>
      <c r="N193" s="190" t="n"/>
      <c r="O193" s="190" t="n"/>
      <c r="P193" s="190" t="n"/>
      <c r="Q193" s="191" t="n"/>
      <c r="R193" s="191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n"/>
      <c r="C194" s="190" t="n"/>
      <c r="D194" s="190" t="n"/>
      <c r="E194" s="190" t="n"/>
      <c r="F194" s="190" t="n"/>
      <c r="G194" s="189" t="n"/>
      <c r="H194" s="189" t="n"/>
      <c r="I194" s="189" t="n"/>
      <c r="J194" s="190" t="n"/>
      <c r="K194" s="190" t="n"/>
      <c r="L194" s="189" t="n"/>
      <c r="M194" s="189" t="n"/>
      <c r="N194" s="190" t="n"/>
      <c r="O194" s="190" t="n"/>
      <c r="P194" s="190" t="n"/>
      <c r="Q194" s="191" t="n"/>
      <c r="R194" s="191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n"/>
      <c r="C195" s="190" t="n"/>
      <c r="D195" s="190" t="n"/>
      <c r="E195" s="190" t="n"/>
      <c r="F195" s="190" t="n"/>
      <c r="G195" s="189" t="n"/>
      <c r="H195" s="189" t="n"/>
      <c r="I195" s="189" t="n"/>
      <c r="J195" s="190" t="n"/>
      <c r="K195" s="190" t="n"/>
      <c r="L195" s="189" t="n"/>
      <c r="M195" s="189" t="n"/>
      <c r="N195" s="190" t="n"/>
      <c r="O195" s="190" t="n"/>
      <c r="P195" s="190" t="n"/>
      <c r="Q195" s="191" t="n"/>
      <c r="R195" s="191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n"/>
      <c r="C196" s="190" t="n"/>
      <c r="D196" s="190" t="n"/>
      <c r="E196" s="190" t="n"/>
      <c r="F196" s="190" t="n"/>
      <c r="G196" s="189" t="n"/>
      <c r="H196" s="189" t="n"/>
      <c r="I196" s="189" t="n"/>
      <c r="J196" s="190" t="n"/>
      <c r="K196" s="190" t="n"/>
      <c r="L196" s="189" t="n"/>
      <c r="M196" s="189" t="n"/>
      <c r="N196" s="190" t="n"/>
      <c r="O196" s="190" t="n"/>
      <c r="P196" s="190" t="n"/>
      <c r="Q196" s="191" t="n"/>
      <c r="R196" s="191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n"/>
      <c r="C197" s="190" t="n"/>
      <c r="D197" s="190" t="n"/>
      <c r="E197" s="190" t="n"/>
      <c r="F197" s="190" t="n"/>
      <c r="G197" s="189" t="n"/>
      <c r="H197" s="189" t="n"/>
      <c r="I197" s="189" t="n"/>
      <c r="J197" s="190" t="n"/>
      <c r="K197" s="190" t="n"/>
      <c r="L197" s="189" t="n"/>
      <c r="M197" s="189" t="n"/>
      <c r="N197" s="190" t="n"/>
      <c r="O197" s="190" t="n"/>
      <c r="P197" s="190" t="n"/>
      <c r="Q197" s="191" t="n"/>
      <c r="R197" s="191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n"/>
      <c r="C198" s="190" t="n"/>
      <c r="D198" s="190" t="n"/>
      <c r="E198" s="190" t="n"/>
      <c r="F198" s="190" t="n"/>
      <c r="G198" s="189" t="n"/>
      <c r="H198" s="189" t="n"/>
      <c r="I198" s="189" t="n"/>
      <c r="J198" s="190" t="n"/>
      <c r="K198" s="190" t="n"/>
      <c r="L198" s="189" t="n"/>
      <c r="M198" s="189" t="n"/>
      <c r="N198" s="190" t="n"/>
      <c r="O198" s="190" t="n"/>
      <c r="P198" s="190" t="n"/>
      <c r="Q198" s="191" t="n"/>
      <c r="R198" s="191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n"/>
      <c r="C199" s="190" t="n"/>
      <c r="D199" s="190" t="n"/>
      <c r="E199" s="190" t="n"/>
      <c r="F199" s="190" t="n"/>
      <c r="G199" s="189" t="n"/>
      <c r="H199" s="189" t="n"/>
      <c r="I199" s="189" t="n"/>
      <c r="J199" s="190" t="n"/>
      <c r="K199" s="190" t="n"/>
      <c r="L199" s="189" t="n"/>
      <c r="M199" s="189" t="n"/>
      <c r="N199" s="190" t="n"/>
      <c r="O199" s="190" t="n"/>
      <c r="P199" s="190" t="n"/>
      <c r="Q199" s="191" t="n"/>
      <c r="R199" s="191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n"/>
      <c r="C200" s="190" t="n"/>
      <c r="D200" s="190" t="n"/>
      <c r="E200" s="190" t="n"/>
      <c r="F200" s="190" t="n"/>
      <c r="G200" s="189" t="n"/>
      <c r="H200" s="189" t="n"/>
      <c r="I200" s="189" t="n"/>
      <c r="J200" s="190" t="n"/>
      <c r="K200" s="190" t="n"/>
      <c r="L200" s="189" t="n"/>
      <c r="M200" s="189" t="n"/>
      <c r="N200" s="190" t="n"/>
      <c r="O200" s="190" t="n"/>
      <c r="P200" s="190" t="n"/>
      <c r="Q200" s="191" t="n"/>
      <c r="R200" s="191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n"/>
      <c r="C201" s="190" t="n"/>
      <c r="D201" s="190" t="n"/>
      <c r="E201" s="190" t="n"/>
      <c r="F201" s="190" t="n"/>
      <c r="G201" s="189" t="n"/>
      <c r="H201" s="189" t="n"/>
      <c r="I201" s="189" t="n"/>
      <c r="J201" s="190" t="n"/>
      <c r="K201" s="190" t="n"/>
      <c r="L201" s="189" t="n"/>
      <c r="M201" s="189" t="n"/>
      <c r="N201" s="190" t="n"/>
      <c r="O201" s="190" t="n"/>
      <c r="P201" s="190" t="n"/>
      <c r="Q201" s="191" t="n"/>
      <c r="R201" s="191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n"/>
      <c r="C202" s="190" t="n"/>
      <c r="D202" s="190" t="n"/>
      <c r="E202" s="190" t="n"/>
      <c r="F202" s="190" t="n"/>
      <c r="G202" s="189" t="n"/>
      <c r="H202" s="189" t="n"/>
      <c r="I202" s="189" t="n"/>
      <c r="J202" s="190" t="n"/>
      <c r="K202" s="190" t="n"/>
      <c r="L202" s="189" t="n"/>
      <c r="M202" s="189" t="n"/>
      <c r="N202" s="190" t="n"/>
      <c r="O202" s="190" t="n"/>
      <c r="P202" s="190" t="n"/>
      <c r="Q202" s="191" t="n"/>
      <c r="R202" s="191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n"/>
      <c r="C203" s="190" t="n"/>
      <c r="D203" s="190" t="n"/>
      <c r="E203" s="190" t="n"/>
      <c r="F203" s="190" t="n"/>
      <c r="G203" s="189" t="n"/>
      <c r="H203" s="189" t="n"/>
      <c r="I203" s="189" t="n"/>
      <c r="J203" s="190" t="n"/>
      <c r="K203" s="190" t="n"/>
      <c r="L203" s="189" t="n"/>
      <c r="M203" s="189" t="n"/>
      <c r="N203" s="190" t="n"/>
      <c r="O203" s="190" t="n"/>
      <c r="P203" s="190" t="n"/>
      <c r="Q203" s="191" t="n"/>
      <c r="R203" s="191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n"/>
      <c r="C204" s="190" t="n"/>
      <c r="D204" s="190" t="n"/>
      <c r="E204" s="190" t="n"/>
      <c r="F204" s="190" t="n"/>
      <c r="G204" s="189" t="n"/>
      <c r="H204" s="189" t="n"/>
      <c r="I204" s="189" t="n"/>
      <c r="J204" s="190" t="n"/>
      <c r="K204" s="190" t="n"/>
      <c r="L204" s="189" t="n"/>
      <c r="M204" s="189" t="n"/>
      <c r="N204" s="190" t="n"/>
      <c r="O204" s="190" t="n"/>
      <c r="P204" s="190" t="n"/>
      <c r="Q204" s="191" t="n"/>
      <c r="R204" s="191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n"/>
      <c r="C205" s="190" t="n"/>
      <c r="D205" s="190" t="n"/>
      <c r="E205" s="190" t="n"/>
      <c r="F205" s="190" t="n"/>
      <c r="G205" s="189" t="n"/>
      <c r="H205" s="189" t="n"/>
      <c r="I205" s="189" t="n"/>
      <c r="J205" s="190" t="n"/>
      <c r="K205" s="190" t="n"/>
      <c r="L205" s="189" t="n"/>
      <c r="M205" s="189" t="n"/>
      <c r="N205" s="190" t="n"/>
      <c r="O205" s="190" t="n"/>
      <c r="P205" s="190" t="n"/>
      <c r="Q205" s="191" t="n"/>
      <c r="R205" s="191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n"/>
      <c r="C206" s="190" t="n"/>
      <c r="D206" s="190" t="n"/>
      <c r="E206" s="190" t="n"/>
      <c r="F206" s="190" t="n"/>
      <c r="G206" s="189" t="n"/>
      <c r="H206" s="189" t="n"/>
      <c r="I206" s="189" t="n"/>
      <c r="J206" s="190" t="n"/>
      <c r="K206" s="190" t="n"/>
      <c r="L206" s="189" t="n"/>
      <c r="M206" s="189" t="n"/>
      <c r="N206" s="190" t="n"/>
      <c r="O206" s="190" t="n"/>
      <c r="P206" s="190" t="n"/>
      <c r="Q206" s="191" t="n"/>
      <c r="R206" s="191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n"/>
      <c r="C207" s="190" t="n"/>
      <c r="D207" s="190" t="n"/>
      <c r="E207" s="190" t="n"/>
      <c r="F207" s="190" t="n"/>
      <c r="G207" s="189" t="n"/>
      <c r="H207" s="189" t="n"/>
      <c r="I207" s="189" t="n"/>
      <c r="J207" s="190" t="n"/>
      <c r="K207" s="190" t="n"/>
      <c r="L207" s="189" t="n"/>
      <c r="M207" s="189" t="n"/>
      <c r="N207" s="190" t="n"/>
      <c r="O207" s="190" t="n"/>
      <c r="P207" s="190" t="n"/>
      <c r="Q207" s="191" t="n"/>
      <c r="R207" s="191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n"/>
      <c r="C208" s="190" t="n"/>
      <c r="D208" s="190" t="n"/>
      <c r="E208" s="190" t="n"/>
      <c r="F208" s="190" t="n"/>
      <c r="G208" s="189" t="n"/>
      <c r="H208" s="189" t="n"/>
      <c r="I208" s="189" t="n"/>
      <c r="J208" s="190" t="n"/>
      <c r="K208" s="190" t="n"/>
      <c r="L208" s="189" t="n"/>
      <c r="M208" s="189" t="n"/>
      <c r="N208" s="190" t="n"/>
      <c r="O208" s="190" t="n"/>
      <c r="P208" s="190" t="n"/>
      <c r="Q208" s="191" t="n"/>
      <c r="R208" s="191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n"/>
      <c r="C209" s="190" t="n"/>
      <c r="D209" s="190" t="n"/>
      <c r="E209" s="190" t="n"/>
      <c r="F209" s="190" t="n"/>
      <c r="G209" s="189" t="n"/>
      <c r="H209" s="189" t="n"/>
      <c r="I209" s="189" t="n"/>
      <c r="J209" s="190" t="n"/>
      <c r="K209" s="190" t="n"/>
      <c r="L209" s="189" t="n"/>
      <c r="M209" s="189" t="n"/>
      <c r="N209" s="190" t="n"/>
      <c r="O209" s="190" t="n"/>
      <c r="P209" s="190" t="n"/>
      <c r="Q209" s="191" t="n"/>
      <c r="R209" s="191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n"/>
      <c r="C210" s="190" t="n"/>
      <c r="D210" s="190" t="n"/>
      <c r="E210" s="190" t="n"/>
      <c r="F210" s="190" t="n"/>
      <c r="G210" s="189" t="n"/>
      <c r="H210" s="189" t="n"/>
      <c r="I210" s="189" t="n"/>
      <c r="J210" s="190" t="n"/>
      <c r="K210" s="190" t="n"/>
      <c r="L210" s="189" t="n"/>
      <c r="M210" s="189" t="n"/>
      <c r="N210" s="190" t="n"/>
      <c r="O210" s="190" t="n"/>
      <c r="P210" s="190" t="n"/>
      <c r="Q210" s="191" t="n"/>
      <c r="R210" s="191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n"/>
      <c r="C211" s="190" t="n"/>
      <c r="D211" s="190" t="n"/>
      <c r="E211" s="190" t="n"/>
      <c r="F211" s="190" t="n"/>
      <c r="G211" s="189" t="n"/>
      <c r="H211" s="189" t="n"/>
      <c r="I211" s="189" t="n"/>
      <c r="J211" s="190" t="n"/>
      <c r="K211" s="190" t="n"/>
      <c r="L211" s="189" t="n"/>
      <c r="M211" s="189" t="n"/>
      <c r="N211" s="190" t="n"/>
      <c r="O211" s="190" t="n"/>
      <c r="P211" s="190" t="n"/>
      <c r="Q211" s="191" t="n"/>
      <c r="R211" s="191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n"/>
      <c r="C212" s="190" t="n"/>
      <c r="D212" s="190" t="n"/>
      <c r="E212" s="190" t="n"/>
      <c r="F212" s="190" t="n"/>
      <c r="G212" s="189" t="n"/>
      <c r="H212" s="189" t="n"/>
      <c r="I212" s="189" t="n"/>
      <c r="J212" s="190" t="n"/>
      <c r="K212" s="190" t="n"/>
      <c r="L212" s="189" t="n"/>
      <c r="M212" s="189" t="n"/>
      <c r="N212" s="190" t="n"/>
      <c r="O212" s="190" t="n"/>
      <c r="P212" s="190" t="n"/>
      <c r="Q212" s="191" t="n"/>
      <c r="R212" s="191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n"/>
      <c r="C213" s="190" t="n"/>
      <c r="D213" s="190" t="n"/>
      <c r="E213" s="190" t="n"/>
      <c r="F213" s="190" t="n"/>
      <c r="G213" s="189" t="n"/>
      <c r="H213" s="189" t="n"/>
      <c r="I213" s="189" t="n"/>
      <c r="J213" s="190" t="n"/>
      <c r="K213" s="190" t="n"/>
      <c r="L213" s="189" t="n"/>
      <c r="M213" s="189" t="n"/>
      <c r="N213" s="190" t="n"/>
      <c r="O213" s="190" t="n"/>
      <c r="P213" s="190" t="n"/>
      <c r="Q213" s="191" t="n"/>
      <c r="R213" s="191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n"/>
      <c r="C214" s="190" t="n"/>
      <c r="D214" s="190" t="n"/>
      <c r="E214" s="190" t="n"/>
      <c r="F214" s="190" t="n"/>
      <c r="G214" s="189" t="n"/>
      <c r="H214" s="189" t="n"/>
      <c r="I214" s="189" t="n"/>
      <c r="J214" s="190" t="n"/>
      <c r="K214" s="190" t="n"/>
      <c r="L214" s="189" t="n"/>
      <c r="M214" s="189" t="n"/>
      <c r="N214" s="190" t="n"/>
      <c r="O214" s="190" t="n"/>
      <c r="P214" s="190" t="n"/>
      <c r="Q214" s="191" t="n"/>
      <c r="R214" s="191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n"/>
      <c r="C215" s="190" t="n"/>
      <c r="D215" s="190" t="n"/>
      <c r="E215" s="190" t="n"/>
      <c r="F215" s="190" t="n"/>
      <c r="G215" s="189" t="n"/>
      <c r="H215" s="189" t="n"/>
      <c r="I215" s="189" t="n"/>
      <c r="J215" s="190" t="n"/>
      <c r="K215" s="190" t="n"/>
      <c r="L215" s="189" t="n"/>
      <c r="M215" s="189" t="n"/>
      <c r="N215" s="190" t="n"/>
      <c r="O215" s="190" t="n"/>
      <c r="P215" s="190" t="n"/>
      <c r="Q215" s="191" t="n"/>
      <c r="R215" s="191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n"/>
      <c r="C216" s="190" t="n"/>
      <c r="D216" s="190" t="n"/>
      <c r="E216" s="190" t="n"/>
      <c r="F216" s="190" t="n"/>
      <c r="G216" s="189" t="n"/>
      <c r="H216" s="189" t="n"/>
      <c r="I216" s="189" t="n"/>
      <c r="J216" s="190" t="n"/>
      <c r="K216" s="190" t="n"/>
      <c r="L216" s="189" t="n"/>
      <c r="M216" s="189" t="n"/>
      <c r="N216" s="190" t="n"/>
      <c r="O216" s="190" t="n"/>
      <c r="P216" s="190" t="n"/>
      <c r="Q216" s="191" t="n"/>
      <c r="R216" s="191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n"/>
      <c r="C217" s="190" t="n"/>
      <c r="D217" s="190" t="n"/>
      <c r="E217" s="190" t="n"/>
      <c r="F217" s="190" t="n"/>
      <c r="G217" s="189" t="n"/>
      <c r="H217" s="189" t="n"/>
      <c r="I217" s="189" t="n"/>
      <c r="J217" s="190" t="n"/>
      <c r="K217" s="190" t="n"/>
      <c r="L217" s="189" t="n"/>
      <c r="M217" s="189" t="n"/>
      <c r="N217" s="190" t="n"/>
      <c r="O217" s="190" t="n"/>
      <c r="P217" s="190" t="n"/>
      <c r="Q217" s="191" t="n"/>
      <c r="R217" s="191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n"/>
      <c r="C218" s="190" t="n"/>
      <c r="D218" s="190" t="n"/>
      <c r="E218" s="190" t="n"/>
      <c r="F218" s="190" t="n"/>
      <c r="G218" s="189" t="n"/>
      <c r="H218" s="189" t="n"/>
      <c r="I218" s="189" t="n"/>
      <c r="J218" s="190" t="n"/>
      <c r="K218" s="190" t="n"/>
      <c r="L218" s="189" t="n"/>
      <c r="M218" s="189" t="n"/>
      <c r="N218" s="190" t="n"/>
      <c r="O218" s="190" t="n"/>
      <c r="P218" s="190" t="n"/>
      <c r="Q218" s="191" t="n"/>
      <c r="R218" s="191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n"/>
      <c r="C219" s="190" t="n"/>
      <c r="D219" s="190" t="n"/>
      <c r="E219" s="190" t="n"/>
      <c r="F219" s="190" t="n"/>
      <c r="G219" s="189" t="n"/>
      <c r="H219" s="189" t="n"/>
      <c r="I219" s="189" t="n"/>
      <c r="J219" s="190" t="n"/>
      <c r="K219" s="190" t="n"/>
      <c r="L219" s="189" t="n"/>
      <c r="M219" s="189" t="n"/>
      <c r="N219" s="190" t="n"/>
      <c r="O219" s="190" t="n"/>
      <c r="P219" s="190" t="n"/>
      <c r="Q219" s="191" t="n"/>
      <c r="R219" s="191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n"/>
      <c r="C220" s="190" t="n"/>
      <c r="D220" s="190" t="n"/>
      <c r="E220" s="190" t="n"/>
      <c r="F220" s="190" t="n"/>
      <c r="G220" s="189" t="n"/>
      <c r="H220" s="189" t="n"/>
      <c r="I220" s="189" t="n"/>
      <c r="J220" s="190" t="n"/>
      <c r="K220" s="190" t="n"/>
      <c r="L220" s="189" t="n"/>
      <c r="M220" s="189" t="n"/>
      <c r="N220" s="190" t="n"/>
      <c r="O220" s="190" t="n"/>
      <c r="P220" s="190" t="n"/>
      <c r="Q220" s="191" t="n"/>
      <c r="R220" s="191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n"/>
      <c r="C221" s="190" t="n"/>
      <c r="D221" s="190" t="n"/>
      <c r="E221" s="190" t="n"/>
      <c r="F221" s="190" t="n"/>
      <c r="G221" s="189" t="n"/>
      <c r="H221" s="189" t="n"/>
      <c r="I221" s="189" t="n"/>
      <c r="J221" s="190" t="n"/>
      <c r="K221" s="190" t="n"/>
      <c r="L221" s="189" t="n"/>
      <c r="M221" s="189" t="n"/>
      <c r="N221" s="190" t="n"/>
      <c r="O221" s="190" t="n"/>
      <c r="P221" s="190" t="n"/>
      <c r="Q221" s="191" t="n"/>
      <c r="R221" s="191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n"/>
      <c r="C222" s="190" t="n"/>
      <c r="D222" s="190" t="n"/>
      <c r="E222" s="190" t="n"/>
      <c r="F222" s="190" t="n"/>
      <c r="G222" s="189" t="n"/>
      <c r="H222" s="189" t="n"/>
      <c r="I222" s="189" t="n"/>
      <c r="J222" s="190" t="n"/>
      <c r="K222" s="190" t="n"/>
      <c r="L222" s="189" t="n"/>
      <c r="M222" s="189" t="n"/>
      <c r="N222" s="190" t="n"/>
      <c r="O222" s="190" t="n"/>
      <c r="P222" s="190" t="n"/>
      <c r="Q222" s="191" t="n"/>
      <c r="R222" s="191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n"/>
      <c r="C223" s="190" t="n"/>
      <c r="D223" s="190" t="n"/>
      <c r="E223" s="190" t="n"/>
      <c r="F223" s="190" t="n"/>
      <c r="G223" s="189" t="n"/>
      <c r="H223" s="189" t="n"/>
      <c r="I223" s="189" t="n"/>
      <c r="J223" s="190" t="n"/>
      <c r="K223" s="190" t="n"/>
      <c r="L223" s="189" t="n"/>
      <c r="M223" s="189" t="n"/>
      <c r="N223" s="190" t="n"/>
      <c r="O223" s="190" t="n"/>
      <c r="P223" s="190" t="n"/>
      <c r="Q223" s="191" t="n"/>
      <c r="R223" s="191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n"/>
      <c r="C224" s="190" t="n"/>
      <c r="D224" s="190" t="n"/>
      <c r="E224" s="190" t="n"/>
      <c r="F224" s="190" t="n"/>
      <c r="G224" s="189" t="n"/>
      <c r="H224" s="189" t="n"/>
      <c r="I224" s="189" t="n"/>
      <c r="J224" s="190" t="n"/>
      <c r="K224" s="190" t="n"/>
      <c r="L224" s="189" t="n"/>
      <c r="M224" s="189" t="n"/>
      <c r="N224" s="190" t="n"/>
      <c r="O224" s="190" t="n"/>
      <c r="P224" s="190" t="n"/>
      <c r="Q224" s="191" t="n"/>
      <c r="R224" s="191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n"/>
      <c r="C225" s="190" t="n"/>
      <c r="D225" s="190" t="n"/>
      <c r="E225" s="190" t="n"/>
      <c r="F225" s="190" t="n"/>
      <c r="G225" s="189" t="n"/>
      <c r="H225" s="189" t="n"/>
      <c r="I225" s="189" t="n"/>
      <c r="J225" s="190" t="n"/>
      <c r="K225" s="190" t="n"/>
      <c r="L225" s="189" t="n"/>
      <c r="M225" s="189" t="n"/>
      <c r="N225" s="190" t="n"/>
      <c r="O225" s="190" t="n"/>
      <c r="P225" s="190" t="n"/>
      <c r="Q225" s="191" t="n"/>
      <c r="R225" s="191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n"/>
      <c r="C226" s="190" t="n"/>
      <c r="D226" s="190" t="n"/>
      <c r="E226" s="190" t="n"/>
      <c r="F226" s="190" t="n"/>
      <c r="G226" s="189" t="n"/>
      <c r="H226" s="189" t="n"/>
      <c r="I226" s="189" t="n"/>
      <c r="J226" s="190" t="n"/>
      <c r="K226" s="190" t="n"/>
      <c r="L226" s="189" t="n"/>
      <c r="M226" s="189" t="n"/>
      <c r="N226" s="190" t="n"/>
      <c r="O226" s="190" t="n"/>
      <c r="P226" s="190" t="n"/>
      <c r="Q226" s="191" t="n"/>
      <c r="R226" s="191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n"/>
      <c r="C227" s="190" t="n"/>
      <c r="D227" s="190" t="n"/>
      <c r="E227" s="190" t="n"/>
      <c r="F227" s="190" t="n"/>
      <c r="G227" s="189" t="n"/>
      <c r="H227" s="189" t="n"/>
      <c r="I227" s="189" t="n"/>
      <c r="J227" s="190" t="n"/>
      <c r="K227" s="190" t="n"/>
      <c r="L227" s="189" t="n"/>
      <c r="M227" s="189" t="n"/>
      <c r="N227" s="190" t="n"/>
      <c r="O227" s="190" t="n"/>
      <c r="P227" s="190" t="n"/>
      <c r="Q227" s="191" t="n"/>
      <c r="R227" s="191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n"/>
      <c r="C228" s="190" t="n"/>
      <c r="D228" s="190" t="n"/>
      <c r="E228" s="190" t="n"/>
      <c r="F228" s="190" t="n"/>
      <c r="G228" s="189" t="n"/>
      <c r="H228" s="189" t="n"/>
      <c r="I228" s="189" t="n"/>
      <c r="J228" s="190" t="n"/>
      <c r="K228" s="190" t="n"/>
      <c r="L228" s="189" t="n"/>
      <c r="M228" s="189" t="n"/>
      <c r="N228" s="190" t="n"/>
      <c r="O228" s="190" t="n"/>
      <c r="P228" s="190" t="n"/>
      <c r="Q228" s="191" t="n"/>
      <c r="R228" s="191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n"/>
      <c r="C229" s="190" t="n"/>
      <c r="D229" s="190" t="n"/>
      <c r="E229" s="190" t="n"/>
      <c r="F229" s="190" t="n"/>
      <c r="G229" s="189" t="n"/>
      <c r="H229" s="189" t="n"/>
      <c r="I229" s="189" t="n"/>
      <c r="J229" s="190" t="n"/>
      <c r="K229" s="190" t="n"/>
      <c r="L229" s="189" t="n"/>
      <c r="M229" s="189" t="n"/>
      <c r="N229" s="190" t="n"/>
      <c r="O229" s="190" t="n"/>
      <c r="P229" s="190" t="n"/>
      <c r="Q229" s="191" t="n"/>
      <c r="R229" s="191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n"/>
      <c r="C230" s="190" t="n"/>
      <c r="D230" s="190" t="n"/>
      <c r="E230" s="190" t="n"/>
      <c r="F230" s="190" t="n"/>
      <c r="G230" s="189" t="n"/>
      <c r="H230" s="189" t="n"/>
      <c r="I230" s="189" t="n"/>
      <c r="J230" s="190" t="n"/>
      <c r="K230" s="190" t="n"/>
      <c r="L230" s="189" t="n"/>
      <c r="M230" s="189" t="n"/>
      <c r="N230" s="190" t="n"/>
      <c r="O230" s="190" t="n"/>
      <c r="P230" s="190" t="n"/>
      <c r="Q230" s="191" t="n"/>
      <c r="R230" s="191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n"/>
      <c r="C231" s="190" t="n"/>
      <c r="D231" s="190" t="n"/>
      <c r="E231" s="190" t="n"/>
      <c r="F231" s="190" t="n"/>
      <c r="G231" s="189" t="n"/>
      <c r="H231" s="189" t="n"/>
      <c r="I231" s="189" t="n"/>
      <c r="J231" s="190" t="n"/>
      <c r="K231" s="190" t="n"/>
      <c r="L231" s="189" t="n"/>
      <c r="M231" s="189" t="n"/>
      <c r="N231" s="190" t="n"/>
      <c r="O231" s="190" t="n"/>
      <c r="P231" s="190" t="n"/>
      <c r="Q231" s="191" t="n"/>
      <c r="R231" s="191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n"/>
      <c r="C232" s="190" t="n"/>
      <c r="D232" s="190" t="n"/>
      <c r="E232" s="190" t="n"/>
      <c r="F232" s="190" t="n"/>
      <c r="G232" s="189" t="n"/>
      <c r="H232" s="189" t="n"/>
      <c r="I232" s="189" t="n"/>
      <c r="J232" s="190" t="n"/>
      <c r="K232" s="190" t="n"/>
      <c r="L232" s="189" t="n"/>
      <c r="M232" s="189" t="n"/>
      <c r="N232" s="190" t="n"/>
      <c r="O232" s="190" t="n"/>
      <c r="P232" s="190" t="n"/>
      <c r="Q232" s="191" t="n"/>
      <c r="R232" s="191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n"/>
      <c r="C233" s="190" t="n"/>
      <c r="D233" s="190" t="n"/>
      <c r="E233" s="190" t="n"/>
      <c r="F233" s="190" t="n"/>
      <c r="G233" s="189" t="n"/>
      <c r="H233" s="189" t="n"/>
      <c r="I233" s="189" t="n"/>
      <c r="J233" s="190" t="n"/>
      <c r="K233" s="190" t="n"/>
      <c r="L233" s="189" t="n"/>
      <c r="M233" s="189" t="n"/>
      <c r="N233" s="190" t="n"/>
      <c r="O233" s="190" t="n"/>
      <c r="P233" s="190" t="n"/>
      <c r="Q233" s="191" t="n"/>
      <c r="R233" s="191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n"/>
      <c r="C234" s="190" t="n"/>
      <c r="D234" s="190" t="n"/>
      <c r="E234" s="190" t="n"/>
      <c r="F234" s="190" t="n"/>
      <c r="G234" s="189" t="n"/>
      <c r="H234" s="189" t="n"/>
      <c r="I234" s="189" t="n"/>
      <c r="J234" s="190" t="n"/>
      <c r="K234" s="190" t="n"/>
      <c r="L234" s="189" t="n"/>
      <c r="M234" s="189" t="n"/>
      <c r="N234" s="190" t="n"/>
      <c r="O234" s="190" t="n"/>
      <c r="P234" s="190" t="n"/>
      <c r="Q234" s="191" t="n"/>
      <c r="R234" s="191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n"/>
      <c r="C235" s="190" t="n"/>
      <c r="D235" s="190" t="n"/>
      <c r="E235" s="190" t="n"/>
      <c r="F235" s="190" t="n"/>
      <c r="G235" s="189" t="n"/>
      <c r="H235" s="189" t="n"/>
      <c r="I235" s="189" t="n"/>
      <c r="J235" s="190" t="n"/>
      <c r="K235" s="190" t="n"/>
      <c r="L235" s="189" t="n"/>
      <c r="M235" s="189" t="n"/>
      <c r="N235" s="190" t="n"/>
      <c r="O235" s="190" t="n"/>
      <c r="P235" s="190" t="n"/>
      <c r="Q235" s="191" t="n"/>
      <c r="R235" s="191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n"/>
      <c r="C236" s="190" t="n"/>
      <c r="D236" s="190" t="n"/>
      <c r="E236" s="190" t="n"/>
      <c r="F236" s="190" t="n"/>
      <c r="G236" s="189" t="n"/>
      <c r="H236" s="189" t="n"/>
      <c r="I236" s="189" t="n"/>
      <c r="J236" s="190" t="n"/>
      <c r="K236" s="190" t="n"/>
      <c r="L236" s="189" t="n"/>
      <c r="M236" s="189" t="n"/>
      <c r="N236" s="190" t="n"/>
      <c r="O236" s="190" t="n"/>
      <c r="P236" s="190" t="n"/>
      <c r="Q236" s="191" t="n"/>
      <c r="R236" s="191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n"/>
      <c r="C237" s="190" t="n"/>
      <c r="D237" s="190" t="n"/>
      <c r="E237" s="190" t="n"/>
      <c r="F237" s="190" t="n"/>
      <c r="G237" s="189" t="n"/>
      <c r="H237" s="189" t="n"/>
      <c r="I237" s="189" t="n"/>
      <c r="J237" s="190" t="n"/>
      <c r="K237" s="190" t="n"/>
      <c r="L237" s="189" t="n"/>
      <c r="M237" s="189" t="n"/>
      <c r="N237" s="190" t="n"/>
      <c r="O237" s="190" t="n"/>
      <c r="P237" s="190" t="n"/>
      <c r="Q237" s="191" t="n"/>
      <c r="R237" s="191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n"/>
      <c r="C238" s="190" t="n"/>
      <c r="D238" s="190" t="n"/>
      <c r="E238" s="190" t="n"/>
      <c r="F238" s="190" t="n"/>
      <c r="G238" s="189" t="n"/>
      <c r="H238" s="189" t="n"/>
      <c r="I238" s="189" t="n"/>
      <c r="J238" s="190" t="n"/>
      <c r="K238" s="190" t="n"/>
      <c r="L238" s="189" t="n"/>
      <c r="M238" s="189" t="n"/>
      <c r="N238" s="190" t="n"/>
      <c r="O238" s="190" t="n"/>
      <c r="P238" s="190" t="n"/>
      <c r="Q238" s="191" t="n"/>
      <c r="R238" s="191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n"/>
      <c r="C239" s="190" t="n"/>
      <c r="D239" s="190" t="n"/>
      <c r="E239" s="190" t="n"/>
      <c r="F239" s="190" t="n"/>
      <c r="G239" s="189" t="n"/>
      <c r="H239" s="189" t="n"/>
      <c r="I239" s="189" t="n"/>
      <c r="J239" s="190" t="n"/>
      <c r="K239" s="190" t="n"/>
      <c r="L239" s="189" t="n"/>
      <c r="M239" s="189" t="n"/>
      <c r="N239" s="190" t="n"/>
      <c r="O239" s="190" t="n"/>
      <c r="P239" s="190" t="n"/>
      <c r="Q239" s="191" t="n"/>
      <c r="R239" s="191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n"/>
      <c r="C240" s="190" t="n"/>
      <c r="D240" s="190" t="n"/>
      <c r="E240" s="190" t="n"/>
      <c r="F240" s="190" t="n"/>
      <c r="G240" s="189" t="n"/>
      <c r="H240" s="189" t="n"/>
      <c r="I240" s="189" t="n"/>
      <c r="J240" s="190" t="n"/>
      <c r="K240" s="190" t="n"/>
      <c r="L240" s="189" t="n"/>
      <c r="M240" s="189" t="n"/>
      <c r="N240" s="190" t="n"/>
      <c r="O240" s="190" t="n"/>
      <c r="P240" s="190" t="n"/>
      <c r="Q240" s="191" t="n"/>
      <c r="R240" s="191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n"/>
      <c r="C241" s="190" t="n"/>
      <c r="D241" s="190" t="n"/>
      <c r="E241" s="190" t="n"/>
      <c r="F241" s="190" t="n"/>
      <c r="G241" s="189" t="n"/>
      <c r="H241" s="189" t="n"/>
      <c r="I241" s="189" t="n"/>
      <c r="J241" s="190" t="n"/>
      <c r="K241" s="190" t="n"/>
      <c r="L241" s="189" t="n"/>
      <c r="M241" s="189" t="n"/>
      <c r="N241" s="190" t="n"/>
      <c r="O241" s="190" t="n"/>
      <c r="P241" s="190" t="n"/>
      <c r="Q241" s="191" t="n"/>
      <c r="R241" s="191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n"/>
      <c r="C242" s="190" t="n"/>
      <c r="D242" s="190" t="n"/>
      <c r="E242" s="190" t="n"/>
      <c r="F242" s="190" t="n"/>
      <c r="G242" s="189" t="n"/>
      <c r="H242" s="189" t="n"/>
      <c r="I242" s="189" t="n"/>
      <c r="J242" s="190" t="n"/>
      <c r="K242" s="190" t="n"/>
      <c r="L242" s="189" t="n"/>
      <c r="M242" s="189" t="n"/>
      <c r="N242" s="190" t="n"/>
      <c r="O242" s="190" t="n"/>
      <c r="P242" s="190" t="n"/>
      <c r="Q242" s="191" t="n"/>
      <c r="R242" s="191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n"/>
      <c r="C243" s="190" t="n"/>
      <c r="D243" s="190" t="n"/>
      <c r="E243" s="190" t="n"/>
      <c r="F243" s="190" t="n"/>
      <c r="G243" s="189" t="n"/>
      <c r="H243" s="189" t="n"/>
      <c r="I243" s="189" t="n"/>
      <c r="J243" s="190" t="n"/>
      <c r="K243" s="190" t="n"/>
      <c r="L243" s="189" t="n"/>
      <c r="M243" s="189" t="n"/>
      <c r="N243" s="190" t="n"/>
      <c r="O243" s="190" t="n"/>
      <c r="P243" s="190" t="n"/>
      <c r="Q243" s="191" t="n"/>
      <c r="R243" s="191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n"/>
      <c r="C244" s="190" t="n"/>
      <c r="D244" s="190" t="n"/>
      <c r="E244" s="190" t="n"/>
      <c r="F244" s="190" t="n"/>
      <c r="G244" s="189" t="n"/>
      <c r="H244" s="189" t="n"/>
      <c r="I244" s="189" t="n"/>
      <c r="J244" s="190" t="n"/>
      <c r="K244" s="190" t="n"/>
      <c r="L244" s="189" t="n"/>
      <c r="M244" s="189" t="n"/>
      <c r="N244" s="190" t="n"/>
      <c r="O244" s="190" t="n"/>
      <c r="P244" s="190" t="n"/>
      <c r="Q244" s="191" t="n"/>
      <c r="R244" s="191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n"/>
      <c r="C245" s="190" t="n"/>
      <c r="D245" s="190" t="n"/>
      <c r="E245" s="190" t="n"/>
      <c r="F245" s="190" t="n"/>
      <c r="G245" s="189" t="n"/>
      <c r="H245" s="189" t="n"/>
      <c r="I245" s="189" t="n"/>
      <c r="J245" s="190" t="n"/>
      <c r="K245" s="190" t="n"/>
      <c r="L245" s="189" t="n"/>
      <c r="M245" s="189" t="n"/>
      <c r="N245" s="190" t="n"/>
      <c r="O245" s="190" t="n"/>
      <c r="P245" s="190" t="n"/>
      <c r="Q245" s="191" t="n"/>
      <c r="R245" s="191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n"/>
      <c r="C246" s="190" t="n"/>
      <c r="D246" s="190" t="n"/>
      <c r="E246" s="190" t="n"/>
      <c r="F246" s="190" t="n"/>
      <c r="G246" s="189" t="n"/>
      <c r="H246" s="189" t="n"/>
      <c r="I246" s="189" t="n"/>
      <c r="J246" s="190" t="n"/>
      <c r="K246" s="190" t="n"/>
      <c r="L246" s="189" t="n"/>
      <c r="M246" s="189" t="n"/>
      <c r="N246" s="190" t="n"/>
      <c r="O246" s="190" t="n"/>
      <c r="P246" s="190" t="n"/>
      <c r="Q246" s="191" t="n"/>
      <c r="R246" s="191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n"/>
      <c r="C247" s="190" t="n"/>
      <c r="D247" s="190" t="n"/>
      <c r="E247" s="190" t="n"/>
      <c r="F247" s="190" t="n"/>
      <c r="G247" s="189" t="n"/>
      <c r="H247" s="189" t="n"/>
      <c r="I247" s="189" t="n"/>
      <c r="J247" s="190" t="n"/>
      <c r="K247" s="190" t="n"/>
      <c r="L247" s="189" t="n"/>
      <c r="M247" s="189" t="n"/>
      <c r="N247" s="190" t="n"/>
      <c r="O247" s="190" t="n"/>
      <c r="P247" s="190" t="n"/>
      <c r="Q247" s="191" t="n"/>
      <c r="R247" s="191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n"/>
      <c r="C248" s="190" t="n"/>
      <c r="D248" s="190" t="n"/>
      <c r="E248" s="190" t="n"/>
      <c r="F248" s="190" t="n"/>
      <c r="G248" s="189" t="n"/>
      <c r="H248" s="189" t="n"/>
      <c r="I248" s="189" t="n"/>
      <c r="J248" s="190" t="n"/>
      <c r="K248" s="190" t="n"/>
      <c r="L248" s="189" t="n"/>
      <c r="M248" s="189" t="n"/>
      <c r="N248" s="190" t="n"/>
      <c r="O248" s="190" t="n"/>
      <c r="P248" s="190" t="n"/>
      <c r="Q248" s="191" t="n"/>
      <c r="R248" s="191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n"/>
      <c r="C249" s="190" t="n"/>
      <c r="D249" s="190" t="n"/>
      <c r="E249" s="190" t="n"/>
      <c r="F249" s="190" t="n"/>
      <c r="G249" s="189" t="n"/>
      <c r="H249" s="189" t="n"/>
      <c r="I249" s="189" t="n"/>
      <c r="J249" s="190" t="n"/>
      <c r="K249" s="190" t="n"/>
      <c r="L249" s="189" t="n"/>
      <c r="M249" s="189" t="n"/>
      <c r="N249" s="190" t="n"/>
      <c r="O249" s="190" t="n"/>
      <c r="P249" s="190" t="n"/>
      <c r="Q249" s="191" t="n"/>
      <c r="R249" s="191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n"/>
      <c r="C250" s="190" t="n"/>
      <c r="D250" s="190" t="n"/>
      <c r="E250" s="190" t="n"/>
      <c r="F250" s="190" t="n"/>
      <c r="G250" s="189" t="n"/>
      <c r="H250" s="189" t="n"/>
      <c r="I250" s="189" t="n"/>
      <c r="J250" s="190" t="n"/>
      <c r="K250" s="190" t="n"/>
      <c r="L250" s="189" t="n"/>
      <c r="M250" s="189" t="n"/>
      <c r="N250" s="190" t="n"/>
      <c r="O250" s="190" t="n"/>
      <c r="P250" s="190" t="n"/>
      <c r="Q250" s="191" t="n"/>
      <c r="R250" s="191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n"/>
      <c r="C251" s="190" t="n"/>
      <c r="D251" s="190" t="n"/>
      <c r="E251" s="190" t="n"/>
      <c r="F251" s="190" t="n"/>
      <c r="G251" s="189" t="n"/>
      <c r="H251" s="189" t="n"/>
      <c r="I251" s="189" t="n"/>
      <c r="J251" s="190" t="n"/>
      <c r="K251" s="190" t="n"/>
      <c r="L251" s="189" t="n"/>
      <c r="M251" s="189" t="n"/>
      <c r="N251" s="190" t="n"/>
      <c r="O251" s="190" t="n"/>
      <c r="P251" s="190" t="n"/>
      <c r="Q251" s="191" t="n"/>
      <c r="R251" s="191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n"/>
      <c r="C252" s="190" t="n"/>
      <c r="D252" s="190" t="n"/>
      <c r="E252" s="190" t="n"/>
      <c r="F252" s="190" t="n"/>
      <c r="G252" s="189" t="n"/>
      <c r="H252" s="189" t="n"/>
      <c r="I252" s="189" t="n"/>
      <c r="J252" s="190" t="n"/>
      <c r="K252" s="190" t="n"/>
      <c r="L252" s="189" t="n"/>
      <c r="M252" s="189" t="n"/>
      <c r="N252" s="190" t="n"/>
      <c r="O252" s="190" t="n"/>
      <c r="P252" s="190" t="n"/>
      <c r="Q252" s="191" t="n"/>
      <c r="R252" s="191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n"/>
      <c r="C253" s="190" t="n"/>
      <c r="D253" s="190" t="n"/>
      <c r="E253" s="190" t="n"/>
      <c r="F253" s="190" t="n"/>
      <c r="G253" s="189" t="n"/>
      <c r="H253" s="189" t="n"/>
      <c r="I253" s="189" t="n"/>
      <c r="J253" s="190" t="n"/>
      <c r="K253" s="190" t="n"/>
      <c r="L253" s="189" t="n"/>
      <c r="M253" s="189" t="n"/>
      <c r="N253" s="190" t="n"/>
      <c r="O253" s="190" t="n"/>
      <c r="P253" s="190" t="n"/>
      <c r="Q253" s="191" t="n"/>
      <c r="R253" s="191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n"/>
      <c r="C254" s="190" t="n"/>
      <c r="D254" s="190" t="n"/>
      <c r="E254" s="190" t="n"/>
      <c r="F254" s="190" t="n"/>
      <c r="G254" s="189" t="n"/>
      <c r="H254" s="189" t="n"/>
      <c r="I254" s="189" t="n"/>
      <c r="J254" s="190" t="n"/>
      <c r="K254" s="190" t="n"/>
      <c r="L254" s="189" t="n"/>
      <c r="M254" s="189" t="n"/>
      <c r="N254" s="190" t="n"/>
      <c r="O254" s="190" t="n"/>
      <c r="P254" s="190" t="n"/>
      <c r="Q254" s="191" t="n"/>
      <c r="R254" s="191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n"/>
      <c r="C255" s="190" t="n"/>
      <c r="D255" s="190" t="n"/>
      <c r="E255" s="190" t="n"/>
      <c r="F255" s="190" t="n"/>
      <c r="G255" s="189" t="n"/>
      <c r="H255" s="189" t="n"/>
      <c r="I255" s="189" t="n"/>
      <c r="J255" s="190" t="n"/>
      <c r="K255" s="190" t="n"/>
      <c r="L255" s="189" t="n"/>
      <c r="M255" s="189" t="n"/>
      <c r="N255" s="190" t="n"/>
      <c r="O255" s="190" t="n"/>
      <c r="P255" s="190" t="n"/>
      <c r="Q255" s="191" t="n"/>
      <c r="R255" s="191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n"/>
      <c r="C256" s="190" t="n"/>
      <c r="D256" s="190" t="n"/>
      <c r="E256" s="190" t="n"/>
      <c r="F256" s="190" t="n"/>
      <c r="G256" s="189" t="n"/>
      <c r="H256" s="189" t="n"/>
      <c r="I256" s="189" t="n"/>
      <c r="J256" s="190" t="n"/>
      <c r="K256" s="190" t="n"/>
      <c r="L256" s="189" t="n"/>
      <c r="M256" s="189" t="n"/>
      <c r="N256" s="190" t="n"/>
      <c r="O256" s="190" t="n"/>
      <c r="P256" s="190" t="n"/>
      <c r="Q256" s="191" t="n"/>
      <c r="R256" s="191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n"/>
      <c r="C257" s="190" t="n"/>
      <c r="D257" s="190" t="n"/>
      <c r="E257" s="190" t="n"/>
      <c r="F257" s="190" t="n"/>
      <c r="G257" s="189" t="n"/>
      <c r="H257" s="189" t="n"/>
      <c r="I257" s="189" t="n"/>
      <c r="J257" s="190" t="n"/>
      <c r="K257" s="190" t="n"/>
      <c r="L257" s="189" t="n"/>
      <c r="M257" s="189" t="n"/>
      <c r="N257" s="190" t="n"/>
      <c r="O257" s="190" t="n"/>
      <c r="P257" s="190" t="n"/>
      <c r="Q257" s="191" t="n"/>
      <c r="R257" s="191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n"/>
      <c r="C258" s="190" t="n"/>
      <c r="D258" s="190" t="n"/>
      <c r="E258" s="190" t="n"/>
      <c r="F258" s="190" t="n"/>
      <c r="G258" s="189" t="n"/>
      <c r="H258" s="189" t="n"/>
      <c r="I258" s="189" t="n"/>
      <c r="J258" s="190" t="n"/>
      <c r="K258" s="190" t="n"/>
      <c r="L258" s="189" t="n"/>
      <c r="M258" s="189" t="n"/>
      <c r="N258" s="190" t="n"/>
      <c r="O258" s="190" t="n"/>
      <c r="P258" s="190" t="n"/>
      <c r="Q258" s="191" t="n"/>
      <c r="R258" s="191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n"/>
      <c r="C259" s="190" t="n"/>
      <c r="D259" s="190" t="n"/>
      <c r="E259" s="190" t="n"/>
      <c r="F259" s="190" t="n"/>
      <c r="G259" s="189" t="n"/>
      <c r="H259" s="189" t="n"/>
      <c r="I259" s="189" t="n"/>
      <c r="J259" s="190" t="n"/>
      <c r="K259" s="190" t="n"/>
      <c r="L259" s="189" t="n"/>
      <c r="M259" s="189" t="n"/>
      <c r="N259" s="190" t="n"/>
      <c r="O259" s="190" t="n"/>
      <c r="P259" s="190" t="n"/>
      <c r="Q259" s="191" t="n"/>
      <c r="R259" s="191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n"/>
      <c r="C260" s="190" t="n"/>
      <c r="D260" s="190" t="n"/>
      <c r="E260" s="190" t="n"/>
      <c r="F260" s="190" t="n"/>
      <c r="G260" s="189" t="n"/>
      <c r="H260" s="189" t="n"/>
      <c r="I260" s="189" t="n"/>
      <c r="J260" s="190" t="n"/>
      <c r="K260" s="190" t="n"/>
      <c r="L260" s="189" t="n"/>
      <c r="M260" s="189" t="n"/>
      <c r="N260" s="190" t="n"/>
      <c r="O260" s="190" t="n"/>
      <c r="P260" s="190" t="n"/>
      <c r="Q260" s="191" t="n"/>
      <c r="R260" s="191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n"/>
      <c r="C261" s="190" t="n"/>
      <c r="D261" s="190" t="n"/>
      <c r="E261" s="190" t="n"/>
      <c r="F261" s="190" t="n"/>
      <c r="G261" s="189" t="n"/>
      <c r="H261" s="189" t="n"/>
      <c r="I261" s="189" t="n"/>
      <c r="J261" s="190" t="n"/>
      <c r="K261" s="190" t="n"/>
      <c r="L261" s="189" t="n"/>
      <c r="M261" s="189" t="n"/>
      <c r="N261" s="190" t="n"/>
      <c r="O261" s="190" t="n"/>
      <c r="P261" s="190" t="n"/>
      <c r="Q261" s="191" t="n"/>
      <c r="R261" s="191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n"/>
      <c r="C262" s="190" t="n"/>
      <c r="D262" s="190" t="n"/>
      <c r="E262" s="190" t="n"/>
      <c r="F262" s="190" t="n"/>
      <c r="G262" s="189" t="n"/>
      <c r="H262" s="189" t="n"/>
      <c r="I262" s="189" t="n"/>
      <c r="J262" s="190" t="n"/>
      <c r="K262" s="190" t="n"/>
      <c r="L262" s="189" t="n"/>
      <c r="M262" s="189" t="n"/>
      <c r="N262" s="190" t="n"/>
      <c r="O262" s="190" t="n"/>
      <c r="P262" s="190" t="n"/>
      <c r="Q262" s="191" t="n"/>
      <c r="R262" s="191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n"/>
      <c r="C263" s="190" t="n"/>
      <c r="D263" s="190" t="n"/>
      <c r="E263" s="190" t="n"/>
      <c r="F263" s="190" t="n"/>
      <c r="G263" s="189" t="n"/>
      <c r="H263" s="189" t="n"/>
      <c r="I263" s="189" t="n"/>
      <c r="J263" s="190" t="n"/>
      <c r="K263" s="190" t="n"/>
      <c r="L263" s="189" t="n"/>
      <c r="M263" s="189" t="n"/>
      <c r="N263" s="190" t="n"/>
      <c r="O263" s="190" t="n"/>
      <c r="P263" s="190" t="n"/>
      <c r="Q263" s="191" t="n"/>
      <c r="R263" s="191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n"/>
      <c r="C264" s="190" t="n"/>
      <c r="D264" s="190" t="n"/>
      <c r="E264" s="190" t="n"/>
      <c r="F264" s="190" t="n"/>
      <c r="G264" s="189" t="n"/>
      <c r="H264" s="189" t="n"/>
      <c r="I264" s="189" t="n"/>
      <c r="J264" s="190" t="n"/>
      <c r="K264" s="190" t="n"/>
      <c r="L264" s="189" t="n"/>
      <c r="M264" s="189" t="n"/>
      <c r="N264" s="190" t="n"/>
      <c r="O264" s="190" t="n"/>
      <c r="P264" s="190" t="n"/>
      <c r="Q264" s="191" t="n"/>
      <c r="R264" s="191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n"/>
      <c r="C265" s="190" t="n"/>
      <c r="D265" s="190" t="n"/>
      <c r="E265" s="190" t="n"/>
      <c r="F265" s="190" t="n"/>
      <c r="G265" s="189" t="n"/>
      <c r="H265" s="189" t="n"/>
      <c r="I265" s="189" t="n"/>
      <c r="J265" s="190" t="n"/>
      <c r="K265" s="190" t="n"/>
      <c r="L265" s="189" t="n"/>
      <c r="M265" s="189" t="n"/>
      <c r="N265" s="190" t="n"/>
      <c r="O265" s="190" t="n"/>
      <c r="P265" s="190" t="n"/>
      <c r="Q265" s="191" t="n"/>
      <c r="R265" s="191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n"/>
      <c r="C266" s="190" t="n"/>
      <c r="D266" s="190" t="n"/>
      <c r="E266" s="190" t="n"/>
      <c r="F266" s="190" t="n"/>
      <c r="G266" s="189" t="n"/>
      <c r="H266" s="189" t="n"/>
      <c r="I266" s="189" t="n"/>
      <c r="J266" s="190" t="n"/>
      <c r="K266" s="190" t="n"/>
      <c r="L266" s="189" t="n"/>
      <c r="M266" s="189" t="n"/>
      <c r="N266" s="190" t="n"/>
      <c r="O266" s="190" t="n"/>
      <c r="P266" s="190" t="n"/>
      <c r="Q266" s="191" t="n"/>
      <c r="R266" s="191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n"/>
      <c r="C267" s="190" t="n"/>
      <c r="D267" s="190" t="n"/>
      <c r="E267" s="190" t="n"/>
      <c r="F267" s="190" t="n"/>
      <c r="G267" s="189" t="n"/>
      <c r="H267" s="189" t="n"/>
      <c r="I267" s="189" t="n"/>
      <c r="J267" s="190" t="n"/>
      <c r="K267" s="190" t="n"/>
      <c r="L267" s="189" t="n"/>
      <c r="M267" s="189" t="n"/>
      <c r="N267" s="190" t="n"/>
      <c r="O267" s="190" t="n"/>
      <c r="P267" s="190" t="n"/>
      <c r="Q267" s="191" t="n"/>
      <c r="R267" s="191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n"/>
      <c r="C268" s="190" t="n"/>
      <c r="D268" s="190" t="n"/>
      <c r="E268" s="190" t="n"/>
      <c r="F268" s="190" t="n"/>
      <c r="G268" s="189" t="n"/>
      <c r="H268" s="189" t="n"/>
      <c r="I268" s="189" t="n"/>
      <c r="J268" s="190" t="n"/>
      <c r="K268" s="190" t="n"/>
      <c r="L268" s="189" t="n"/>
      <c r="M268" s="189" t="n"/>
      <c r="N268" s="190" t="n"/>
      <c r="O268" s="190" t="n"/>
      <c r="P268" s="190" t="n"/>
      <c r="Q268" s="191" t="n"/>
      <c r="R268" s="191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n"/>
      <c r="C269" s="190" t="n"/>
      <c r="D269" s="190" t="n"/>
      <c r="E269" s="190" t="n"/>
      <c r="F269" s="190" t="n"/>
      <c r="G269" s="189" t="n"/>
      <c r="H269" s="189" t="n"/>
      <c r="I269" s="189" t="n"/>
      <c r="J269" s="190" t="n"/>
      <c r="K269" s="190" t="n"/>
      <c r="L269" s="189" t="n"/>
      <c r="M269" s="189" t="n"/>
      <c r="N269" s="190" t="n"/>
      <c r="O269" s="190" t="n"/>
      <c r="P269" s="190" t="n"/>
      <c r="Q269" s="191" t="n"/>
      <c r="R269" s="191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n"/>
      <c r="C270" s="190" t="n"/>
      <c r="D270" s="190" t="n"/>
      <c r="E270" s="190" t="n"/>
      <c r="F270" s="190" t="n"/>
      <c r="G270" s="189" t="n"/>
      <c r="H270" s="189" t="n"/>
      <c r="I270" s="189" t="n"/>
      <c r="J270" s="190" t="n"/>
      <c r="K270" s="190" t="n"/>
      <c r="L270" s="189" t="n"/>
      <c r="M270" s="189" t="n"/>
      <c r="N270" s="190" t="n"/>
      <c r="O270" s="190" t="n"/>
      <c r="P270" s="190" t="n"/>
      <c r="Q270" s="191" t="n"/>
      <c r="R270" s="191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n"/>
      <c r="C271" s="190" t="n"/>
      <c r="D271" s="190" t="n"/>
      <c r="E271" s="190" t="n"/>
      <c r="F271" s="190" t="n"/>
      <c r="G271" s="189" t="n"/>
      <c r="H271" s="189" t="n"/>
      <c r="I271" s="189" t="n"/>
      <c r="J271" s="190" t="n"/>
      <c r="K271" s="190" t="n"/>
      <c r="L271" s="189" t="n"/>
      <c r="M271" s="189" t="n"/>
      <c r="N271" s="190" t="n"/>
      <c r="O271" s="190" t="n"/>
      <c r="P271" s="190" t="n"/>
      <c r="Q271" s="191" t="n"/>
      <c r="R271" s="191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n"/>
      <c r="C272" s="190" t="n"/>
      <c r="D272" s="190" t="n"/>
      <c r="E272" s="190" t="n"/>
      <c r="F272" s="190" t="n"/>
      <c r="G272" s="189" t="n"/>
      <c r="H272" s="189" t="n"/>
      <c r="I272" s="189" t="n"/>
      <c r="J272" s="190" t="n"/>
      <c r="K272" s="190" t="n"/>
      <c r="L272" s="189" t="n"/>
      <c r="M272" s="189" t="n"/>
      <c r="N272" s="190" t="n"/>
      <c r="O272" s="190" t="n"/>
      <c r="P272" s="190" t="n"/>
      <c r="Q272" s="191" t="n"/>
      <c r="R272" s="191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n"/>
      <c r="C273" s="190" t="n"/>
      <c r="D273" s="190" t="n"/>
      <c r="E273" s="190" t="n"/>
      <c r="F273" s="190" t="n"/>
      <c r="G273" s="189" t="n"/>
      <c r="H273" s="189" t="n"/>
      <c r="I273" s="189" t="n"/>
      <c r="J273" s="190" t="n"/>
      <c r="K273" s="190" t="n"/>
      <c r="L273" s="189" t="n"/>
      <c r="M273" s="189" t="n"/>
      <c r="N273" s="190" t="n"/>
      <c r="O273" s="190" t="n"/>
      <c r="P273" s="190" t="n"/>
      <c r="Q273" s="191" t="n"/>
      <c r="R273" s="191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n"/>
      <c r="C274" s="190" t="n"/>
      <c r="D274" s="190" t="n"/>
      <c r="E274" s="190" t="n"/>
      <c r="F274" s="190" t="n"/>
      <c r="G274" s="189" t="n"/>
      <c r="H274" s="189" t="n"/>
      <c r="I274" s="189" t="n"/>
      <c r="J274" s="190" t="n"/>
      <c r="K274" s="190" t="n"/>
      <c r="L274" s="189" t="n"/>
      <c r="M274" s="189" t="n"/>
      <c r="N274" s="190" t="n"/>
      <c r="O274" s="190" t="n"/>
      <c r="P274" s="190" t="n"/>
      <c r="Q274" s="191" t="n"/>
      <c r="R274" s="191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n"/>
      <c r="C275" s="190" t="n"/>
      <c r="D275" s="190" t="n"/>
      <c r="E275" s="190" t="n"/>
      <c r="F275" s="190" t="n"/>
      <c r="G275" s="189" t="n"/>
      <c r="H275" s="189" t="n"/>
      <c r="I275" s="189" t="n"/>
      <c r="J275" s="190" t="n"/>
      <c r="K275" s="190" t="n"/>
      <c r="L275" s="189" t="n"/>
      <c r="M275" s="189" t="n"/>
      <c r="N275" s="190" t="n"/>
      <c r="O275" s="190" t="n"/>
      <c r="P275" s="190" t="n"/>
      <c r="Q275" s="191" t="n"/>
      <c r="R275" s="191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n"/>
      <c r="C276" s="190" t="n"/>
      <c r="D276" s="190" t="n"/>
      <c r="E276" s="190" t="n"/>
      <c r="F276" s="190" t="n"/>
      <c r="G276" s="189" t="n"/>
      <c r="H276" s="189" t="n"/>
      <c r="I276" s="189" t="n"/>
      <c r="J276" s="190" t="n"/>
      <c r="K276" s="190" t="n"/>
      <c r="L276" s="189" t="n"/>
      <c r="M276" s="189" t="n"/>
      <c r="N276" s="190" t="n"/>
      <c r="O276" s="190" t="n"/>
      <c r="P276" s="190" t="n"/>
      <c r="Q276" s="191" t="n"/>
      <c r="R276" s="191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n"/>
      <c r="C277" s="190" t="n"/>
      <c r="D277" s="190" t="n"/>
      <c r="E277" s="190" t="n"/>
      <c r="F277" s="190" t="n"/>
      <c r="G277" s="189" t="n"/>
      <c r="H277" s="189" t="n"/>
      <c r="I277" s="189" t="n"/>
      <c r="J277" s="190" t="n"/>
      <c r="K277" s="190" t="n"/>
      <c r="L277" s="189" t="n"/>
      <c r="M277" s="189" t="n"/>
      <c r="N277" s="190" t="n"/>
      <c r="O277" s="190" t="n"/>
      <c r="P277" s="190" t="n"/>
      <c r="Q277" s="191" t="n"/>
      <c r="R277" s="191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n"/>
      <c r="C278" s="190" t="n"/>
      <c r="D278" s="190" t="n"/>
      <c r="E278" s="190" t="n"/>
      <c r="F278" s="190" t="n"/>
      <c r="G278" s="189" t="n"/>
      <c r="H278" s="189" t="n"/>
      <c r="I278" s="189" t="n"/>
      <c r="J278" s="190" t="n"/>
      <c r="K278" s="190" t="n"/>
      <c r="L278" s="189" t="n"/>
      <c r="M278" s="189" t="n"/>
      <c r="N278" s="190" t="n"/>
      <c r="O278" s="190" t="n"/>
      <c r="P278" s="190" t="n"/>
      <c r="Q278" s="191" t="n"/>
      <c r="R278" s="191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n"/>
      <c r="C279" s="190" t="n"/>
      <c r="D279" s="190" t="n"/>
      <c r="E279" s="190" t="n"/>
      <c r="F279" s="190" t="n"/>
      <c r="G279" s="189" t="n"/>
      <c r="H279" s="189" t="n"/>
      <c r="I279" s="189" t="n"/>
      <c r="J279" s="190" t="n"/>
      <c r="K279" s="190" t="n"/>
      <c r="L279" s="189" t="n"/>
      <c r="M279" s="189" t="n"/>
      <c r="N279" s="190" t="n"/>
      <c r="O279" s="190" t="n"/>
      <c r="P279" s="190" t="n"/>
      <c r="Q279" s="191" t="n"/>
      <c r="R279" s="191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n"/>
      <c r="C280" s="190" t="n"/>
      <c r="D280" s="190" t="n"/>
      <c r="E280" s="190" t="n"/>
      <c r="F280" s="190" t="n"/>
      <c r="G280" s="189" t="n"/>
      <c r="H280" s="189" t="n"/>
      <c r="I280" s="189" t="n"/>
      <c r="J280" s="190" t="n"/>
      <c r="K280" s="190" t="n"/>
      <c r="L280" s="189" t="n"/>
      <c r="M280" s="189" t="n"/>
      <c r="N280" s="190" t="n"/>
      <c r="O280" s="190" t="n"/>
      <c r="P280" s="190" t="n"/>
      <c r="Q280" s="191" t="n"/>
      <c r="R280" s="191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n"/>
      <c r="C281" s="190" t="n"/>
      <c r="D281" s="190" t="n"/>
      <c r="E281" s="190" t="n"/>
      <c r="F281" s="190" t="n"/>
      <c r="G281" s="189" t="n"/>
      <c r="H281" s="189" t="n"/>
      <c r="I281" s="189" t="n"/>
      <c r="J281" s="190" t="n"/>
      <c r="K281" s="190" t="n"/>
      <c r="L281" s="189" t="n"/>
      <c r="M281" s="189" t="n"/>
      <c r="N281" s="190" t="n"/>
      <c r="O281" s="190" t="n"/>
      <c r="P281" s="190" t="n"/>
      <c r="Q281" s="191" t="n"/>
      <c r="R281" s="191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n"/>
      <c r="C282" s="190" t="n"/>
      <c r="D282" s="190" t="n"/>
      <c r="E282" s="190" t="n"/>
      <c r="F282" s="190" t="n"/>
      <c r="G282" s="189" t="n"/>
      <c r="H282" s="189" t="n"/>
      <c r="I282" s="189" t="n"/>
      <c r="J282" s="190" t="n"/>
      <c r="K282" s="190" t="n"/>
      <c r="L282" s="189" t="n"/>
      <c r="M282" s="189" t="n"/>
      <c r="N282" s="190" t="n"/>
      <c r="O282" s="190" t="n"/>
      <c r="P282" s="190" t="n"/>
      <c r="Q282" s="191" t="n"/>
      <c r="R282" s="191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n"/>
      <c r="C283" s="190" t="n"/>
      <c r="D283" s="190" t="n"/>
      <c r="E283" s="190" t="n"/>
      <c r="F283" s="190" t="n"/>
      <c r="G283" s="189" t="n"/>
      <c r="H283" s="189" t="n"/>
      <c r="I283" s="189" t="n"/>
      <c r="J283" s="190" t="n"/>
      <c r="K283" s="190" t="n"/>
      <c r="L283" s="189" t="n"/>
      <c r="M283" s="189" t="n"/>
      <c r="N283" s="190" t="n"/>
      <c r="O283" s="190" t="n"/>
      <c r="P283" s="190" t="n"/>
      <c r="Q283" s="191" t="n"/>
      <c r="R283" s="191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n"/>
      <c r="C284" s="190" t="n"/>
      <c r="D284" s="190" t="n"/>
      <c r="E284" s="190" t="n"/>
      <c r="F284" s="190" t="n"/>
      <c r="G284" s="189" t="n"/>
      <c r="H284" s="189" t="n"/>
      <c r="I284" s="189" t="n"/>
      <c r="J284" s="190" t="n"/>
      <c r="K284" s="190" t="n"/>
      <c r="L284" s="189" t="n"/>
      <c r="M284" s="189" t="n"/>
      <c r="N284" s="190" t="n"/>
      <c r="O284" s="190" t="n"/>
      <c r="P284" s="190" t="n"/>
      <c r="Q284" s="191" t="n"/>
      <c r="R284" s="191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n"/>
      <c r="C285" s="190" t="n"/>
      <c r="D285" s="190" t="n"/>
      <c r="E285" s="190" t="n"/>
      <c r="F285" s="190" t="n"/>
      <c r="G285" s="189" t="n"/>
      <c r="H285" s="189" t="n"/>
      <c r="I285" s="189" t="n"/>
      <c r="J285" s="190" t="n"/>
      <c r="K285" s="190" t="n"/>
      <c r="L285" s="189" t="n"/>
      <c r="M285" s="189" t="n"/>
      <c r="N285" s="190" t="n"/>
      <c r="O285" s="190" t="n"/>
      <c r="P285" s="190" t="n"/>
      <c r="Q285" s="191" t="n"/>
      <c r="R285" s="191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n"/>
      <c r="C286" s="190" t="n"/>
      <c r="D286" s="190" t="n"/>
      <c r="E286" s="190" t="n"/>
      <c r="F286" s="190" t="n"/>
      <c r="G286" s="189" t="n"/>
      <c r="H286" s="189" t="n"/>
      <c r="I286" s="189" t="n"/>
      <c r="J286" s="190" t="n"/>
      <c r="K286" s="190" t="n"/>
      <c r="L286" s="189" t="n"/>
      <c r="M286" s="189" t="n"/>
      <c r="N286" s="190" t="n"/>
      <c r="O286" s="190" t="n"/>
      <c r="P286" s="190" t="n"/>
      <c r="Q286" s="191" t="n"/>
      <c r="R286" s="191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n"/>
      <c r="C287" s="190" t="n"/>
      <c r="D287" s="190" t="n"/>
      <c r="E287" s="190" t="n"/>
      <c r="F287" s="190" t="n"/>
      <c r="G287" s="189" t="n"/>
      <c r="H287" s="189" t="n"/>
      <c r="I287" s="189" t="n"/>
      <c r="J287" s="190" t="n"/>
      <c r="K287" s="190" t="n"/>
      <c r="L287" s="189" t="n"/>
      <c r="M287" s="189" t="n"/>
      <c r="N287" s="190" t="n"/>
      <c r="O287" s="190" t="n"/>
      <c r="P287" s="190" t="n"/>
      <c r="Q287" s="191" t="n"/>
      <c r="R287" s="191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n"/>
      <c r="C288" s="190" t="n"/>
      <c r="D288" s="190" t="n"/>
      <c r="E288" s="190" t="n"/>
      <c r="F288" s="190" t="n"/>
      <c r="G288" s="189" t="n"/>
      <c r="H288" s="189" t="n"/>
      <c r="I288" s="189" t="n"/>
      <c r="J288" s="190" t="n"/>
      <c r="K288" s="190" t="n"/>
      <c r="L288" s="189" t="n"/>
      <c r="M288" s="189" t="n"/>
      <c r="N288" s="190" t="n"/>
      <c r="O288" s="190" t="n"/>
      <c r="P288" s="190" t="n"/>
      <c r="Q288" s="191" t="n"/>
      <c r="R288" s="191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n"/>
      <c r="C289" s="190" t="n"/>
      <c r="D289" s="190" t="n"/>
      <c r="E289" s="190" t="n"/>
      <c r="F289" s="190" t="n"/>
      <c r="G289" s="189" t="n"/>
      <c r="H289" s="189" t="n"/>
      <c r="I289" s="189" t="n"/>
      <c r="J289" s="190" t="n"/>
      <c r="K289" s="190" t="n"/>
      <c r="L289" s="189" t="n"/>
      <c r="M289" s="189" t="n"/>
      <c r="N289" s="190" t="n"/>
      <c r="O289" s="190" t="n"/>
      <c r="P289" s="190" t="n"/>
      <c r="Q289" s="191" t="n"/>
      <c r="R289" s="191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n"/>
      <c r="C290" s="190" t="n"/>
      <c r="D290" s="190" t="n"/>
      <c r="E290" s="190" t="n"/>
      <c r="F290" s="190" t="n"/>
      <c r="G290" s="189" t="n"/>
      <c r="H290" s="189" t="n"/>
      <c r="I290" s="189" t="n"/>
      <c r="J290" s="190" t="n"/>
      <c r="K290" s="190" t="n"/>
      <c r="L290" s="189" t="n"/>
      <c r="M290" s="189" t="n"/>
      <c r="N290" s="190" t="n"/>
      <c r="O290" s="190" t="n"/>
      <c r="P290" s="190" t="n"/>
      <c r="Q290" s="191" t="n"/>
      <c r="R290" s="191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n"/>
      <c r="C291" s="190" t="n"/>
      <c r="D291" s="190" t="n"/>
      <c r="E291" s="190" t="n"/>
      <c r="F291" s="190" t="n"/>
      <c r="G291" s="189" t="n"/>
      <c r="H291" s="189" t="n"/>
      <c r="I291" s="189" t="n"/>
      <c r="J291" s="190" t="n"/>
      <c r="K291" s="190" t="n"/>
      <c r="L291" s="189" t="n"/>
      <c r="M291" s="189" t="n"/>
      <c r="N291" s="190" t="n"/>
      <c r="O291" s="190" t="n"/>
      <c r="P291" s="190" t="n"/>
      <c r="Q291" s="191" t="n"/>
      <c r="R291" s="191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n"/>
      <c r="C292" s="190" t="n"/>
      <c r="D292" s="190" t="n"/>
      <c r="E292" s="190" t="n"/>
      <c r="F292" s="190" t="n"/>
      <c r="G292" s="189" t="n"/>
      <c r="H292" s="189" t="n"/>
      <c r="I292" s="189" t="n"/>
      <c r="J292" s="190" t="n"/>
      <c r="K292" s="190" t="n"/>
      <c r="L292" s="189" t="n"/>
      <c r="M292" s="189" t="n"/>
      <c r="N292" s="190" t="n"/>
      <c r="O292" s="190" t="n"/>
      <c r="P292" s="190" t="n"/>
      <c r="Q292" s="191" t="n"/>
      <c r="R292" s="191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n"/>
      <c r="C293" s="190" t="n"/>
      <c r="D293" s="190" t="n"/>
      <c r="E293" s="190" t="n"/>
      <c r="F293" s="190" t="n"/>
      <c r="G293" s="189" t="n"/>
      <c r="H293" s="189" t="n"/>
      <c r="I293" s="189" t="n"/>
      <c r="J293" s="190" t="n"/>
      <c r="K293" s="190" t="n"/>
      <c r="L293" s="189" t="n"/>
      <c r="M293" s="189" t="n"/>
      <c r="N293" s="190" t="n"/>
      <c r="O293" s="190" t="n"/>
      <c r="P293" s="190" t="n"/>
      <c r="Q293" s="191" t="n"/>
      <c r="R293" s="191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n"/>
      <c r="C294" s="190" t="n"/>
      <c r="D294" s="190" t="n"/>
      <c r="E294" s="190" t="n"/>
      <c r="F294" s="190" t="n"/>
      <c r="G294" s="189" t="n"/>
      <c r="H294" s="189" t="n"/>
      <c r="I294" s="189" t="n"/>
      <c r="J294" s="190" t="n"/>
      <c r="K294" s="190" t="n"/>
      <c r="L294" s="189" t="n"/>
      <c r="M294" s="189" t="n"/>
      <c r="N294" s="190" t="n"/>
      <c r="O294" s="190" t="n"/>
      <c r="P294" s="190" t="n"/>
      <c r="Q294" s="191" t="n"/>
      <c r="R294" s="191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n"/>
      <c r="C295" s="190" t="n"/>
      <c r="D295" s="190" t="n"/>
      <c r="E295" s="190" t="n"/>
      <c r="F295" s="190" t="n"/>
      <c r="G295" s="189" t="n"/>
      <c r="H295" s="189" t="n"/>
      <c r="I295" s="189" t="n"/>
      <c r="J295" s="190" t="n"/>
      <c r="K295" s="190" t="n"/>
      <c r="L295" s="189" t="n"/>
      <c r="M295" s="189" t="n"/>
      <c r="N295" s="190" t="n"/>
      <c r="O295" s="190" t="n"/>
      <c r="P295" s="190" t="n"/>
      <c r="Q295" s="191" t="n"/>
      <c r="R295" s="191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n"/>
      <c r="C296" s="190" t="n"/>
      <c r="D296" s="190" t="n"/>
      <c r="E296" s="190" t="n"/>
      <c r="F296" s="190" t="n"/>
      <c r="G296" s="189" t="n"/>
      <c r="H296" s="189" t="n"/>
      <c r="I296" s="189" t="n"/>
      <c r="J296" s="190" t="n"/>
      <c r="K296" s="190" t="n"/>
      <c r="L296" s="189" t="n"/>
      <c r="M296" s="189" t="n"/>
      <c r="N296" s="190" t="n"/>
      <c r="O296" s="190" t="n"/>
      <c r="P296" s="190" t="n"/>
      <c r="Q296" s="191" t="n"/>
      <c r="R296" s="191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n"/>
      <c r="C297" s="190" t="n"/>
      <c r="D297" s="190" t="n"/>
      <c r="E297" s="190" t="n"/>
      <c r="F297" s="190" t="n"/>
      <c r="G297" s="189" t="n"/>
      <c r="H297" s="189" t="n"/>
      <c r="I297" s="189" t="n"/>
      <c r="J297" s="190" t="n"/>
      <c r="K297" s="190" t="n"/>
      <c r="L297" s="189" t="n"/>
      <c r="M297" s="189" t="n"/>
      <c r="N297" s="190" t="n"/>
      <c r="O297" s="190" t="n"/>
      <c r="P297" s="190" t="n"/>
      <c r="Q297" s="191" t="n"/>
      <c r="R297" s="191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n"/>
      <c r="C298" s="190" t="n"/>
      <c r="D298" s="190" t="n"/>
      <c r="E298" s="190" t="n"/>
      <c r="F298" s="190" t="n"/>
      <c r="G298" s="189" t="n"/>
      <c r="H298" s="189" t="n"/>
      <c r="I298" s="189" t="n"/>
      <c r="J298" s="190" t="n"/>
      <c r="K298" s="190" t="n"/>
      <c r="L298" s="189" t="n"/>
      <c r="M298" s="189" t="n"/>
      <c r="N298" s="190" t="n"/>
      <c r="O298" s="190" t="n"/>
      <c r="P298" s="190" t="n"/>
      <c r="Q298" s="191" t="n"/>
      <c r="R298" s="191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n"/>
      <c r="C299" s="190" t="n"/>
      <c r="D299" s="190" t="n"/>
      <c r="E299" s="190" t="n"/>
      <c r="F299" s="190" t="n"/>
      <c r="G299" s="189" t="n"/>
      <c r="H299" s="189" t="n"/>
      <c r="I299" s="189" t="n"/>
      <c r="J299" s="190" t="n"/>
      <c r="K299" s="190" t="n"/>
      <c r="L299" s="189" t="n"/>
      <c r="M299" s="189" t="n"/>
      <c r="N299" s="190" t="n"/>
      <c r="O299" s="190" t="n"/>
      <c r="P299" s="190" t="n"/>
      <c r="Q299" s="191" t="n"/>
      <c r="R299" s="191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n"/>
      <c r="C300" s="190" t="n"/>
      <c r="D300" s="190" t="n"/>
      <c r="E300" s="190" t="n"/>
      <c r="F300" s="190" t="n"/>
      <c r="G300" s="189" t="n"/>
      <c r="H300" s="189" t="n"/>
      <c r="I300" s="189" t="n"/>
      <c r="J300" s="190" t="n"/>
      <c r="K300" s="190" t="n"/>
      <c r="L300" s="189" t="n"/>
      <c r="M300" s="189" t="n"/>
      <c r="N300" s="190" t="n"/>
      <c r="O300" s="190" t="n"/>
      <c r="P300" s="190" t="n"/>
      <c r="Q300" s="191" t="n"/>
      <c r="R300" s="191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n"/>
      <c r="C301" s="190" t="n"/>
      <c r="D301" s="190" t="n"/>
      <c r="E301" s="190" t="n"/>
      <c r="F301" s="190" t="n"/>
      <c r="G301" s="189" t="n"/>
      <c r="H301" s="189" t="n"/>
      <c r="I301" s="189" t="n"/>
      <c r="J301" s="190" t="n"/>
      <c r="K301" s="190" t="n"/>
      <c r="L301" s="189" t="n"/>
      <c r="M301" s="189" t="n"/>
      <c r="N301" s="190" t="n"/>
      <c r="O301" s="190" t="n"/>
      <c r="P301" s="190" t="n"/>
      <c r="Q301" s="191" t="n"/>
      <c r="R301" s="191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n"/>
      <c r="C302" s="190" t="n"/>
      <c r="D302" s="190" t="n"/>
      <c r="E302" s="190" t="n"/>
      <c r="F302" s="190" t="n"/>
      <c r="G302" s="189" t="n"/>
      <c r="H302" s="189" t="n"/>
      <c r="I302" s="189" t="n"/>
      <c r="J302" s="190" t="n"/>
      <c r="K302" s="190" t="n"/>
      <c r="L302" s="189" t="n"/>
      <c r="M302" s="189" t="n"/>
      <c r="N302" s="190" t="n"/>
      <c r="O302" s="190" t="n"/>
      <c r="P302" s="190" t="n"/>
      <c r="Q302" s="191" t="n"/>
      <c r="R302" s="191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n"/>
      <c r="C303" s="190" t="n"/>
      <c r="D303" s="190" t="n"/>
      <c r="E303" s="190" t="n"/>
      <c r="F303" s="190" t="n"/>
      <c r="G303" s="189" t="n"/>
      <c r="H303" s="189" t="n"/>
      <c r="I303" s="189" t="n"/>
      <c r="J303" s="190" t="n"/>
      <c r="K303" s="190" t="n"/>
      <c r="L303" s="189" t="n"/>
      <c r="M303" s="189" t="n"/>
      <c r="N303" s="190" t="n"/>
      <c r="O303" s="190" t="n"/>
      <c r="P303" s="190" t="n"/>
      <c r="Q303" s="191" t="n"/>
      <c r="R303" s="191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n"/>
      <c r="C304" s="190" t="n"/>
      <c r="D304" s="190" t="n"/>
      <c r="E304" s="190" t="n"/>
      <c r="F304" s="190" t="n"/>
      <c r="G304" s="189" t="n"/>
      <c r="H304" s="189" t="n"/>
      <c r="I304" s="189" t="n"/>
      <c r="J304" s="190" t="n"/>
      <c r="K304" s="190" t="n"/>
      <c r="L304" s="189" t="n"/>
      <c r="M304" s="189" t="n"/>
      <c r="N304" s="190" t="n"/>
      <c r="O304" s="190" t="n"/>
      <c r="P304" s="190" t="n"/>
      <c r="Q304" s="191" t="n"/>
      <c r="R304" s="191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n"/>
      <c r="C305" s="190" t="n"/>
      <c r="D305" s="190" t="n"/>
      <c r="E305" s="190" t="n"/>
      <c r="F305" s="190" t="n"/>
      <c r="G305" s="189" t="n"/>
      <c r="H305" s="189" t="n"/>
      <c r="I305" s="189" t="n"/>
      <c r="J305" s="190" t="n"/>
      <c r="K305" s="190" t="n"/>
      <c r="L305" s="189" t="n"/>
      <c r="M305" s="189" t="n"/>
      <c r="N305" s="190" t="n"/>
      <c r="O305" s="190" t="n"/>
      <c r="P305" s="190" t="n"/>
      <c r="Q305" s="191" t="n"/>
      <c r="R305" s="191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n"/>
      <c r="C306" s="190" t="n"/>
      <c r="D306" s="190" t="n"/>
      <c r="E306" s="190" t="n"/>
      <c r="F306" s="190" t="n"/>
      <c r="G306" s="189" t="n"/>
      <c r="H306" s="189" t="n"/>
      <c r="I306" s="189" t="n"/>
      <c r="J306" s="190" t="n"/>
      <c r="K306" s="190" t="n"/>
      <c r="L306" s="189" t="n"/>
      <c r="M306" s="189" t="n"/>
      <c r="N306" s="190" t="n"/>
      <c r="O306" s="190" t="n"/>
      <c r="P306" s="190" t="n"/>
      <c r="Q306" s="191" t="n"/>
      <c r="R306" s="191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n"/>
      <c r="C307" s="190" t="n"/>
      <c r="D307" s="190" t="n"/>
      <c r="E307" s="190" t="n"/>
      <c r="F307" s="190" t="n"/>
      <c r="G307" s="189" t="n"/>
      <c r="H307" s="189" t="n"/>
      <c r="I307" s="189" t="n"/>
      <c r="J307" s="190" t="n"/>
      <c r="K307" s="190" t="n"/>
      <c r="L307" s="189" t="n"/>
      <c r="M307" s="189" t="n"/>
      <c r="N307" s="190" t="n"/>
      <c r="O307" s="190" t="n"/>
      <c r="P307" s="190" t="n"/>
      <c r="Q307" s="191" t="n"/>
      <c r="R307" s="191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n"/>
      <c r="C308" s="190" t="n"/>
      <c r="D308" s="190" t="n"/>
      <c r="E308" s="190" t="n"/>
      <c r="F308" s="190" t="n"/>
      <c r="G308" s="189" t="n"/>
      <c r="H308" s="189" t="n"/>
      <c r="I308" s="189" t="n"/>
      <c r="J308" s="190" t="n"/>
      <c r="K308" s="190" t="n"/>
      <c r="L308" s="189" t="n"/>
      <c r="M308" s="189" t="n"/>
      <c r="N308" s="190" t="n"/>
      <c r="O308" s="190" t="n"/>
      <c r="P308" s="190" t="n"/>
      <c r="Q308" s="191" t="n"/>
      <c r="R308" s="191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n"/>
      <c r="C309" s="190" t="n"/>
      <c r="D309" s="190" t="n"/>
      <c r="E309" s="190" t="n"/>
      <c r="F309" s="190" t="n"/>
      <c r="G309" s="189" t="n"/>
      <c r="H309" s="189" t="n"/>
      <c r="I309" s="189" t="n"/>
      <c r="J309" s="190" t="n"/>
      <c r="K309" s="190" t="n"/>
      <c r="L309" s="189" t="n"/>
      <c r="M309" s="189" t="n"/>
      <c r="N309" s="190" t="n"/>
      <c r="O309" s="190" t="n"/>
      <c r="P309" s="190" t="n"/>
      <c r="Q309" s="191" t="n"/>
      <c r="R309" s="191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n"/>
      <c r="C310" s="190" t="n"/>
      <c r="D310" s="190" t="n"/>
      <c r="E310" s="190" t="n"/>
      <c r="F310" s="190" t="n"/>
      <c r="G310" s="189" t="n"/>
      <c r="H310" s="189" t="n"/>
      <c r="I310" s="189" t="n"/>
      <c r="J310" s="190" t="n"/>
      <c r="K310" s="190" t="n"/>
      <c r="L310" s="189" t="n"/>
      <c r="M310" s="189" t="n"/>
      <c r="N310" s="190" t="n"/>
      <c r="O310" s="190" t="n"/>
      <c r="P310" s="190" t="n"/>
      <c r="Q310" s="191" t="n"/>
      <c r="R310" s="191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n"/>
      <c r="C311" s="190" t="n"/>
      <c r="D311" s="190" t="n"/>
      <c r="E311" s="190" t="n"/>
      <c r="F311" s="190" t="n"/>
      <c r="G311" s="189" t="n"/>
      <c r="H311" s="189" t="n"/>
      <c r="I311" s="189" t="n"/>
      <c r="J311" s="190" t="n"/>
      <c r="K311" s="190" t="n"/>
      <c r="L311" s="189" t="n"/>
      <c r="M311" s="189" t="n"/>
      <c r="N311" s="190" t="n"/>
      <c r="O311" s="190" t="n"/>
      <c r="P311" s="190" t="n"/>
      <c r="Q311" s="191" t="n"/>
      <c r="R311" s="191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n"/>
      <c r="C312" s="190" t="n"/>
      <c r="D312" s="190" t="n"/>
      <c r="E312" s="190" t="n"/>
      <c r="F312" s="190" t="n"/>
      <c r="G312" s="189" t="n"/>
      <c r="H312" s="189" t="n"/>
      <c r="I312" s="189" t="n"/>
      <c r="J312" s="190" t="n"/>
      <c r="K312" s="190" t="n"/>
      <c r="L312" s="189" t="n"/>
      <c r="M312" s="189" t="n"/>
      <c r="N312" s="190" t="n"/>
      <c r="O312" s="190" t="n"/>
      <c r="P312" s="190" t="n"/>
      <c r="Q312" s="191" t="n"/>
      <c r="R312" s="191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n"/>
      <c r="C313" s="190" t="n"/>
      <c r="D313" s="190" t="n"/>
      <c r="E313" s="190" t="n"/>
      <c r="F313" s="190" t="n"/>
      <c r="G313" s="189" t="n"/>
      <c r="H313" s="189" t="n"/>
      <c r="I313" s="189" t="n"/>
      <c r="J313" s="190" t="n"/>
      <c r="K313" s="190" t="n"/>
      <c r="L313" s="189" t="n"/>
      <c r="M313" s="189" t="n"/>
      <c r="N313" s="190" t="n"/>
      <c r="O313" s="190" t="n"/>
      <c r="P313" s="190" t="n"/>
      <c r="Q313" s="191" t="n"/>
      <c r="R313" s="191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n"/>
      <c r="C314" s="190" t="n"/>
      <c r="D314" s="190" t="n"/>
      <c r="E314" s="190" t="n"/>
      <c r="F314" s="190" t="n"/>
      <c r="G314" s="189" t="n"/>
      <c r="H314" s="189" t="n"/>
      <c r="I314" s="189" t="n"/>
      <c r="J314" s="190" t="n"/>
      <c r="K314" s="190" t="n"/>
      <c r="L314" s="189" t="n"/>
      <c r="M314" s="189" t="n"/>
      <c r="N314" s="190" t="n"/>
      <c r="O314" s="190" t="n"/>
      <c r="P314" s="190" t="n"/>
      <c r="Q314" s="191" t="n"/>
      <c r="R314" s="191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n"/>
      <c r="C315" s="190" t="n"/>
      <c r="D315" s="190" t="n"/>
      <c r="E315" s="190" t="n"/>
      <c r="F315" s="190" t="n"/>
      <c r="G315" s="189" t="n"/>
      <c r="H315" s="189" t="n"/>
      <c r="I315" s="189" t="n"/>
      <c r="J315" s="190" t="n"/>
      <c r="K315" s="190" t="n"/>
      <c r="L315" s="189" t="n"/>
      <c r="M315" s="189" t="n"/>
      <c r="N315" s="190" t="n"/>
      <c r="O315" s="190" t="n"/>
      <c r="P315" s="190" t="n"/>
      <c r="Q315" s="191" t="n"/>
      <c r="R315" s="191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n"/>
      <c r="C316" s="190" t="n"/>
      <c r="D316" s="190" t="n"/>
      <c r="E316" s="190" t="n"/>
      <c r="F316" s="190" t="n"/>
      <c r="G316" s="189" t="n"/>
      <c r="H316" s="189" t="n"/>
      <c r="I316" s="189" t="n"/>
      <c r="J316" s="190" t="n"/>
      <c r="K316" s="190" t="n"/>
      <c r="L316" s="189" t="n"/>
      <c r="M316" s="189" t="n"/>
      <c r="N316" s="190" t="n"/>
      <c r="O316" s="190" t="n"/>
      <c r="P316" s="190" t="n"/>
      <c r="Q316" s="191" t="n"/>
      <c r="R316" s="191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n"/>
      <c r="C317" s="190" t="n"/>
      <c r="D317" s="190" t="n"/>
      <c r="E317" s="190" t="n"/>
      <c r="F317" s="190" t="n"/>
      <c r="G317" s="189" t="n"/>
      <c r="H317" s="189" t="n"/>
      <c r="I317" s="189" t="n"/>
      <c r="J317" s="190" t="n"/>
      <c r="K317" s="190" t="n"/>
      <c r="L317" s="189" t="n"/>
      <c r="M317" s="189" t="n"/>
      <c r="N317" s="190" t="n"/>
      <c r="O317" s="190" t="n"/>
      <c r="P317" s="190" t="n"/>
      <c r="Q317" s="191" t="n"/>
      <c r="R317" s="191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n"/>
      <c r="C318" s="190" t="n"/>
      <c r="D318" s="190" t="n"/>
      <c r="E318" s="190" t="n"/>
      <c r="F318" s="190" t="n"/>
      <c r="G318" s="189" t="n"/>
      <c r="H318" s="189" t="n"/>
      <c r="I318" s="189" t="n"/>
      <c r="J318" s="190" t="n"/>
      <c r="K318" s="190" t="n"/>
      <c r="L318" s="189" t="n"/>
      <c r="M318" s="189" t="n"/>
      <c r="N318" s="190" t="n"/>
      <c r="O318" s="190" t="n"/>
      <c r="P318" s="190" t="n"/>
      <c r="Q318" s="191" t="n"/>
      <c r="R318" s="191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n"/>
      <c r="C319" s="190" t="n"/>
      <c r="D319" s="190" t="n"/>
      <c r="E319" s="190" t="n"/>
      <c r="F319" s="190" t="n"/>
      <c r="G319" s="189" t="n"/>
      <c r="H319" s="189" t="n"/>
      <c r="I319" s="189" t="n"/>
      <c r="J319" s="190" t="n"/>
      <c r="K319" s="190" t="n"/>
      <c r="L319" s="189" t="n"/>
      <c r="M319" s="189" t="n"/>
      <c r="N319" s="190" t="n"/>
      <c r="O319" s="190" t="n"/>
      <c r="P319" s="190" t="n"/>
      <c r="Q319" s="191" t="n"/>
      <c r="R319" s="191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n"/>
      <c r="C320" s="190" t="n"/>
      <c r="D320" s="190" t="n"/>
      <c r="E320" s="190" t="n"/>
      <c r="F320" s="190" t="n"/>
      <c r="G320" s="189" t="n"/>
      <c r="H320" s="189" t="n"/>
      <c r="I320" s="189" t="n"/>
      <c r="J320" s="190" t="n"/>
      <c r="K320" s="190" t="n"/>
      <c r="L320" s="189" t="n"/>
      <c r="M320" s="189" t="n"/>
      <c r="N320" s="190" t="n"/>
      <c r="O320" s="190" t="n"/>
      <c r="P320" s="190" t="n"/>
      <c r="Q320" s="191" t="n"/>
      <c r="R320" s="191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n"/>
      <c r="C321" s="190" t="n"/>
      <c r="D321" s="190" t="n"/>
      <c r="E321" s="190" t="n"/>
      <c r="F321" s="190" t="n"/>
      <c r="G321" s="189" t="n"/>
      <c r="H321" s="189" t="n"/>
      <c r="I321" s="189" t="n"/>
      <c r="J321" s="190" t="n"/>
      <c r="K321" s="190" t="n"/>
      <c r="L321" s="189" t="n"/>
      <c r="M321" s="189" t="n"/>
      <c r="N321" s="190" t="n"/>
      <c r="O321" s="190" t="n"/>
      <c r="P321" s="190" t="n"/>
      <c r="Q321" s="191" t="n"/>
      <c r="R321" s="191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n"/>
      <c r="C322" s="190" t="n"/>
      <c r="D322" s="190" t="n"/>
      <c r="E322" s="190" t="n"/>
      <c r="F322" s="190" t="n"/>
      <c r="G322" s="189" t="n"/>
      <c r="H322" s="189" t="n"/>
      <c r="I322" s="189" t="n"/>
      <c r="J322" s="190" t="n"/>
      <c r="K322" s="190" t="n"/>
      <c r="L322" s="189" t="n"/>
      <c r="M322" s="189" t="n"/>
      <c r="N322" s="190" t="n"/>
      <c r="O322" s="190" t="n"/>
      <c r="P322" s="190" t="n"/>
      <c r="Q322" s="191" t="n"/>
      <c r="R322" s="191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n"/>
      <c r="C323" s="190" t="n"/>
      <c r="D323" s="190" t="n"/>
      <c r="E323" s="190" t="n"/>
      <c r="F323" s="190" t="n"/>
      <c r="G323" s="189" t="n"/>
      <c r="H323" s="189" t="n"/>
      <c r="I323" s="189" t="n"/>
      <c r="J323" s="190" t="n"/>
      <c r="K323" s="190" t="n"/>
      <c r="L323" s="189" t="n"/>
      <c r="M323" s="189" t="n"/>
      <c r="N323" s="190" t="n"/>
      <c r="O323" s="190" t="n"/>
      <c r="P323" s="190" t="n"/>
      <c r="Q323" s="191" t="n"/>
      <c r="R323" s="191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n"/>
      <c r="C324" s="190" t="n"/>
      <c r="D324" s="190" t="n"/>
      <c r="E324" s="190" t="n"/>
      <c r="F324" s="190" t="n"/>
      <c r="G324" s="189" t="n"/>
      <c r="H324" s="189" t="n"/>
      <c r="I324" s="189" t="n"/>
      <c r="J324" s="190" t="n"/>
      <c r="K324" s="190" t="n"/>
      <c r="L324" s="189" t="n"/>
      <c r="M324" s="189" t="n"/>
      <c r="N324" s="190" t="n"/>
      <c r="O324" s="190" t="n"/>
      <c r="P324" s="190" t="n"/>
      <c r="Q324" s="191" t="n"/>
      <c r="R324" s="191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n"/>
      <c r="C325" s="190" t="n"/>
      <c r="D325" s="190" t="n"/>
      <c r="E325" s="190" t="n"/>
      <c r="F325" s="190" t="n"/>
      <c r="G325" s="189" t="n"/>
      <c r="H325" s="189" t="n"/>
      <c r="I325" s="189" t="n"/>
      <c r="J325" s="190" t="n"/>
      <c r="K325" s="190" t="n"/>
      <c r="L325" s="189" t="n"/>
      <c r="M325" s="189" t="n"/>
      <c r="N325" s="190" t="n"/>
      <c r="O325" s="190" t="n"/>
      <c r="P325" s="190" t="n"/>
      <c r="Q325" s="191" t="n"/>
      <c r="R325" s="191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n"/>
      <c r="C326" s="190" t="n"/>
      <c r="D326" s="190" t="n"/>
      <c r="E326" s="190" t="n"/>
      <c r="F326" s="190" t="n"/>
      <c r="G326" s="189" t="n"/>
      <c r="H326" s="189" t="n"/>
      <c r="I326" s="189" t="n"/>
      <c r="J326" s="190" t="n"/>
      <c r="K326" s="190" t="n"/>
      <c r="L326" s="189" t="n"/>
      <c r="M326" s="189" t="n"/>
      <c r="N326" s="190" t="n"/>
      <c r="O326" s="190" t="n"/>
      <c r="P326" s="190" t="n"/>
      <c r="Q326" s="191" t="n"/>
      <c r="R326" s="191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n"/>
      <c r="C327" s="190" t="n"/>
      <c r="D327" s="190" t="n"/>
      <c r="E327" s="190" t="n"/>
      <c r="F327" s="190" t="n"/>
      <c r="G327" s="189" t="n"/>
      <c r="H327" s="189" t="n"/>
      <c r="I327" s="189" t="n"/>
      <c r="J327" s="190" t="n"/>
      <c r="K327" s="190" t="n"/>
      <c r="L327" s="189" t="n"/>
      <c r="M327" s="189" t="n"/>
      <c r="N327" s="190" t="n"/>
      <c r="O327" s="190" t="n"/>
      <c r="P327" s="190" t="n"/>
      <c r="Q327" s="191" t="n"/>
      <c r="R327" s="191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n"/>
      <c r="C328" s="190" t="n"/>
      <c r="D328" s="190" t="n"/>
      <c r="E328" s="190" t="n"/>
      <c r="F328" s="190" t="n"/>
      <c r="G328" s="189" t="n"/>
      <c r="H328" s="189" t="n"/>
      <c r="I328" s="189" t="n"/>
      <c r="J328" s="190" t="n"/>
      <c r="K328" s="190" t="n"/>
      <c r="L328" s="189" t="n"/>
      <c r="M328" s="189" t="n"/>
      <c r="N328" s="190" t="n"/>
      <c r="O328" s="190" t="n"/>
      <c r="P328" s="190" t="n"/>
      <c r="Q328" s="191" t="n"/>
      <c r="R328" s="191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n"/>
      <c r="C329" s="190" t="n"/>
      <c r="D329" s="190" t="n"/>
      <c r="E329" s="190" t="n"/>
      <c r="F329" s="190" t="n"/>
      <c r="G329" s="189" t="n"/>
      <c r="H329" s="189" t="n"/>
      <c r="I329" s="189" t="n"/>
      <c r="J329" s="190" t="n"/>
      <c r="K329" s="190" t="n"/>
      <c r="L329" s="189" t="n"/>
      <c r="M329" s="189" t="n"/>
      <c r="N329" s="190" t="n"/>
      <c r="O329" s="190" t="n"/>
      <c r="P329" s="190" t="n"/>
      <c r="Q329" s="191" t="n"/>
      <c r="R329" s="191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n"/>
      <c r="C330" s="190" t="n"/>
      <c r="D330" s="190" t="n"/>
      <c r="E330" s="190" t="n"/>
      <c r="F330" s="190" t="n"/>
      <c r="G330" s="189" t="n"/>
      <c r="H330" s="189" t="n"/>
      <c r="I330" s="189" t="n"/>
      <c r="J330" s="190" t="n"/>
      <c r="K330" s="190" t="n"/>
      <c r="L330" s="189" t="n"/>
      <c r="M330" s="189" t="n"/>
      <c r="N330" s="190" t="n"/>
      <c r="O330" s="190" t="n"/>
      <c r="P330" s="190" t="n"/>
      <c r="Q330" s="191" t="n"/>
      <c r="R330" s="191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n"/>
      <c r="C331" s="190" t="n"/>
      <c r="D331" s="190" t="n"/>
      <c r="E331" s="190" t="n"/>
      <c r="F331" s="190" t="n"/>
      <c r="G331" s="189" t="n"/>
      <c r="H331" s="189" t="n"/>
      <c r="I331" s="189" t="n"/>
      <c r="J331" s="190" t="n"/>
      <c r="K331" s="190" t="n"/>
      <c r="L331" s="189" t="n"/>
      <c r="M331" s="189" t="n"/>
      <c r="N331" s="190" t="n"/>
      <c r="O331" s="190" t="n"/>
      <c r="P331" s="190" t="n"/>
      <c r="Q331" s="191" t="n"/>
      <c r="R331" s="191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n"/>
      <c r="C332" s="190" t="n"/>
      <c r="D332" s="190" t="n"/>
      <c r="E332" s="190" t="n"/>
      <c r="F332" s="190" t="n"/>
      <c r="G332" s="189" t="n"/>
      <c r="H332" s="189" t="n"/>
      <c r="I332" s="189" t="n"/>
      <c r="J332" s="190" t="n"/>
      <c r="K332" s="190" t="n"/>
      <c r="L332" s="189" t="n"/>
      <c r="M332" s="189" t="n"/>
      <c r="N332" s="190" t="n"/>
      <c r="O332" s="190" t="n"/>
      <c r="P332" s="190" t="n"/>
      <c r="Q332" s="191" t="n"/>
      <c r="R332" s="191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n"/>
      <c r="C333" s="190" t="n"/>
      <c r="D333" s="190" t="n"/>
      <c r="E333" s="190" t="n"/>
      <c r="F333" s="190" t="n"/>
      <c r="G333" s="189" t="n"/>
      <c r="H333" s="189" t="n"/>
      <c r="I333" s="189" t="n"/>
      <c r="J333" s="190" t="n"/>
      <c r="K333" s="190" t="n"/>
      <c r="L333" s="189" t="n"/>
      <c r="M333" s="189" t="n"/>
      <c r="N333" s="190" t="n"/>
      <c r="O333" s="190" t="n"/>
      <c r="P333" s="190" t="n"/>
      <c r="Q333" s="191" t="n"/>
      <c r="R333" s="191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n"/>
      <c r="C334" s="190" t="n"/>
      <c r="D334" s="190" t="n"/>
      <c r="E334" s="190" t="n"/>
      <c r="F334" s="190" t="n"/>
      <c r="G334" s="189" t="n"/>
      <c r="H334" s="189" t="n"/>
      <c r="I334" s="189" t="n"/>
      <c r="J334" s="190" t="n"/>
      <c r="K334" s="190" t="n"/>
      <c r="L334" s="189" t="n"/>
      <c r="M334" s="189" t="n"/>
      <c r="N334" s="190" t="n"/>
      <c r="O334" s="190" t="n"/>
      <c r="P334" s="190" t="n"/>
      <c r="Q334" s="191" t="n"/>
      <c r="R334" s="191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n"/>
      <c r="C335" s="190" t="n"/>
      <c r="D335" s="190" t="n"/>
      <c r="E335" s="190" t="n"/>
      <c r="F335" s="190" t="n"/>
      <c r="G335" s="189" t="n"/>
      <c r="H335" s="189" t="n"/>
      <c r="I335" s="189" t="n"/>
      <c r="J335" s="190" t="n"/>
      <c r="K335" s="190" t="n"/>
      <c r="L335" s="189" t="n"/>
      <c r="M335" s="189" t="n"/>
      <c r="N335" s="190" t="n"/>
      <c r="O335" s="190" t="n"/>
      <c r="P335" s="190" t="n"/>
      <c r="Q335" s="191" t="n"/>
      <c r="R335" s="191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n"/>
      <c r="C336" s="190" t="n"/>
      <c r="D336" s="190" t="n"/>
      <c r="E336" s="190" t="n"/>
      <c r="F336" s="190" t="n"/>
      <c r="G336" s="189" t="n"/>
      <c r="H336" s="189" t="n"/>
      <c r="I336" s="189" t="n"/>
      <c r="J336" s="190" t="n"/>
      <c r="K336" s="190" t="n"/>
      <c r="L336" s="189" t="n"/>
      <c r="M336" s="189" t="n"/>
      <c r="N336" s="190" t="n"/>
      <c r="O336" s="190" t="n"/>
      <c r="P336" s="190" t="n"/>
      <c r="Q336" s="191" t="n"/>
      <c r="R336" s="191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n"/>
      <c r="C337" s="190" t="n"/>
      <c r="D337" s="190" t="n"/>
      <c r="E337" s="190" t="n"/>
      <c r="F337" s="190" t="n"/>
      <c r="G337" s="189" t="n"/>
      <c r="H337" s="189" t="n"/>
      <c r="I337" s="189" t="n"/>
      <c r="J337" s="190" t="n"/>
      <c r="K337" s="190" t="n"/>
      <c r="L337" s="189" t="n"/>
      <c r="M337" s="189" t="n"/>
      <c r="N337" s="190" t="n"/>
      <c r="O337" s="190" t="n"/>
      <c r="P337" s="190" t="n"/>
      <c r="Q337" s="191" t="n"/>
      <c r="R337" s="191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n"/>
      <c r="C338" s="190" t="n"/>
      <c r="D338" s="190" t="n"/>
      <c r="E338" s="190" t="n"/>
      <c r="F338" s="190" t="n"/>
      <c r="G338" s="189" t="n"/>
      <c r="H338" s="189" t="n"/>
      <c r="I338" s="189" t="n"/>
      <c r="J338" s="190" t="n"/>
      <c r="K338" s="190" t="n"/>
      <c r="L338" s="189" t="n"/>
      <c r="M338" s="189" t="n"/>
      <c r="N338" s="190" t="n"/>
      <c r="O338" s="190" t="n"/>
      <c r="P338" s="190" t="n"/>
      <c r="Q338" s="191" t="n"/>
      <c r="R338" s="191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n"/>
      <c r="C339" s="190" t="n"/>
      <c r="D339" s="190" t="n"/>
      <c r="E339" s="190" t="n"/>
      <c r="F339" s="190" t="n"/>
      <c r="G339" s="189" t="n"/>
      <c r="H339" s="189" t="n"/>
      <c r="I339" s="189" t="n"/>
      <c r="J339" s="190" t="n"/>
      <c r="K339" s="190" t="n"/>
      <c r="L339" s="189" t="n"/>
      <c r="M339" s="189" t="n"/>
      <c r="N339" s="190" t="n"/>
      <c r="O339" s="190" t="n"/>
      <c r="P339" s="190" t="n"/>
      <c r="Q339" s="191" t="n"/>
      <c r="R339" s="191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n"/>
      <c r="C340" s="190" t="n"/>
      <c r="D340" s="190" t="n"/>
      <c r="E340" s="190" t="n"/>
      <c r="F340" s="190" t="n"/>
      <c r="G340" s="189" t="n"/>
      <c r="H340" s="189" t="n"/>
      <c r="I340" s="189" t="n"/>
      <c r="J340" s="190" t="n"/>
      <c r="K340" s="190" t="n"/>
      <c r="L340" s="189" t="n"/>
      <c r="M340" s="189" t="n"/>
      <c r="N340" s="190" t="n"/>
      <c r="O340" s="190" t="n"/>
      <c r="P340" s="190" t="n"/>
      <c r="Q340" s="191" t="n"/>
      <c r="R340" s="191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n"/>
      <c r="C341" s="190" t="n"/>
      <c r="D341" s="190" t="n"/>
      <c r="E341" s="190" t="n"/>
      <c r="F341" s="190" t="n"/>
      <c r="G341" s="189" t="n"/>
      <c r="H341" s="189" t="n"/>
      <c r="I341" s="189" t="n"/>
      <c r="J341" s="190" t="n"/>
      <c r="K341" s="190" t="n"/>
      <c r="L341" s="189" t="n"/>
      <c r="M341" s="189" t="n"/>
      <c r="N341" s="190" t="n"/>
      <c r="O341" s="190" t="n"/>
      <c r="P341" s="190" t="n"/>
      <c r="Q341" s="191" t="n"/>
      <c r="R341" s="191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n"/>
      <c r="C342" s="190" t="n"/>
      <c r="D342" s="190" t="n"/>
      <c r="E342" s="190" t="n"/>
      <c r="F342" s="190" t="n"/>
      <c r="G342" s="189" t="n"/>
      <c r="H342" s="189" t="n"/>
      <c r="I342" s="189" t="n"/>
      <c r="J342" s="190" t="n"/>
      <c r="K342" s="190" t="n"/>
      <c r="L342" s="189" t="n"/>
      <c r="M342" s="189" t="n"/>
      <c r="N342" s="190" t="n"/>
      <c r="O342" s="190" t="n"/>
      <c r="P342" s="190" t="n"/>
      <c r="Q342" s="191" t="n"/>
      <c r="R342" s="191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n"/>
      <c r="C343" s="190" t="n"/>
      <c r="D343" s="190" t="n"/>
      <c r="E343" s="190" t="n"/>
      <c r="F343" s="190" t="n"/>
      <c r="G343" s="189" t="n"/>
      <c r="H343" s="189" t="n"/>
      <c r="I343" s="189" t="n"/>
      <c r="J343" s="190" t="n"/>
      <c r="K343" s="190" t="n"/>
      <c r="L343" s="189" t="n"/>
      <c r="M343" s="189" t="n"/>
      <c r="N343" s="190" t="n"/>
      <c r="O343" s="190" t="n"/>
      <c r="P343" s="190" t="n"/>
      <c r="Q343" s="191" t="n"/>
      <c r="R343" s="191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n"/>
      <c r="C344" s="190" t="n"/>
      <c r="D344" s="190" t="n"/>
      <c r="E344" s="190" t="n"/>
      <c r="F344" s="190" t="n"/>
      <c r="G344" s="189" t="n"/>
      <c r="H344" s="189" t="n"/>
      <c r="I344" s="189" t="n"/>
      <c r="J344" s="190" t="n"/>
      <c r="K344" s="190" t="n"/>
      <c r="L344" s="189" t="n"/>
      <c r="M344" s="189" t="n"/>
      <c r="N344" s="190" t="n"/>
      <c r="O344" s="190" t="n"/>
      <c r="P344" s="190" t="n"/>
      <c r="Q344" s="191" t="n"/>
      <c r="R344" s="191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n"/>
      <c r="C345" s="190" t="n"/>
      <c r="D345" s="190" t="n"/>
      <c r="E345" s="190" t="n"/>
      <c r="F345" s="190" t="n"/>
      <c r="G345" s="189" t="n"/>
      <c r="H345" s="189" t="n"/>
      <c r="I345" s="189" t="n"/>
      <c r="J345" s="190" t="n"/>
      <c r="K345" s="190" t="n"/>
      <c r="L345" s="189" t="n"/>
      <c r="M345" s="189" t="n"/>
      <c r="N345" s="190" t="n"/>
      <c r="O345" s="190" t="n"/>
      <c r="P345" s="190" t="n"/>
      <c r="Q345" s="191" t="n"/>
      <c r="R345" s="191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n"/>
      <c r="C346" s="190" t="n"/>
      <c r="D346" s="190" t="n"/>
      <c r="E346" s="190" t="n"/>
      <c r="F346" s="190" t="n"/>
      <c r="G346" s="189" t="n"/>
      <c r="H346" s="189" t="n"/>
      <c r="I346" s="189" t="n"/>
      <c r="J346" s="190" t="n"/>
      <c r="K346" s="190" t="n"/>
      <c r="L346" s="189" t="n"/>
      <c r="M346" s="189" t="n"/>
      <c r="N346" s="190" t="n"/>
      <c r="O346" s="190" t="n"/>
      <c r="P346" s="190" t="n"/>
      <c r="Q346" s="191" t="n"/>
      <c r="R346" s="191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n"/>
      <c r="C347" s="190" t="n"/>
      <c r="D347" s="190" t="n"/>
      <c r="E347" s="190" t="n"/>
      <c r="F347" s="190" t="n"/>
      <c r="G347" s="189" t="n"/>
      <c r="H347" s="189" t="n"/>
      <c r="I347" s="189" t="n"/>
      <c r="J347" s="190" t="n"/>
      <c r="K347" s="190" t="n"/>
      <c r="L347" s="189" t="n"/>
      <c r="M347" s="189" t="n"/>
      <c r="N347" s="190" t="n"/>
      <c r="O347" s="190" t="n"/>
      <c r="P347" s="190" t="n"/>
      <c r="Q347" s="191" t="n"/>
      <c r="R347" s="191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n"/>
      <c r="C348" s="190" t="n"/>
      <c r="D348" s="190" t="n"/>
      <c r="E348" s="190" t="n"/>
      <c r="F348" s="190" t="n"/>
      <c r="G348" s="189" t="n"/>
      <c r="H348" s="189" t="n"/>
      <c r="I348" s="189" t="n"/>
      <c r="J348" s="190" t="n"/>
      <c r="K348" s="190" t="n"/>
      <c r="L348" s="189" t="n"/>
      <c r="M348" s="189" t="n"/>
      <c r="N348" s="190" t="n"/>
      <c r="O348" s="190" t="n"/>
      <c r="P348" s="190" t="n"/>
      <c r="Q348" s="191" t="n"/>
      <c r="R348" s="191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n"/>
      <c r="C349" s="190" t="n"/>
      <c r="D349" s="190" t="n"/>
      <c r="E349" s="190" t="n"/>
      <c r="F349" s="190" t="n"/>
      <c r="G349" s="189" t="n"/>
      <c r="H349" s="189" t="n"/>
      <c r="I349" s="189" t="n"/>
      <c r="J349" s="190" t="n"/>
      <c r="K349" s="190" t="n"/>
      <c r="L349" s="189" t="n"/>
      <c r="M349" s="189" t="n"/>
      <c r="N349" s="190" t="n"/>
      <c r="O349" s="190" t="n"/>
      <c r="P349" s="190" t="n"/>
      <c r="Q349" s="191" t="n"/>
      <c r="R349" s="191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n"/>
      <c r="C350" s="190" t="n"/>
      <c r="D350" s="190" t="n"/>
      <c r="E350" s="190" t="n"/>
      <c r="F350" s="190" t="n"/>
      <c r="G350" s="189" t="n"/>
      <c r="H350" s="189" t="n"/>
      <c r="I350" s="189" t="n"/>
      <c r="J350" s="190" t="n"/>
      <c r="K350" s="190" t="n"/>
      <c r="L350" s="189" t="n"/>
      <c r="M350" s="189" t="n"/>
      <c r="N350" s="190" t="n"/>
      <c r="O350" s="190" t="n"/>
      <c r="P350" s="190" t="n"/>
      <c r="Q350" s="191" t="n"/>
      <c r="R350" s="191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n"/>
      <c r="C351" s="190" t="n"/>
      <c r="D351" s="190" t="n"/>
      <c r="E351" s="190" t="n"/>
      <c r="F351" s="190" t="n"/>
      <c r="G351" s="189" t="n"/>
      <c r="H351" s="189" t="n"/>
      <c r="I351" s="189" t="n"/>
      <c r="J351" s="190" t="n"/>
      <c r="K351" s="190" t="n"/>
      <c r="L351" s="189" t="n"/>
      <c r="M351" s="189" t="n"/>
      <c r="N351" s="190" t="n"/>
      <c r="O351" s="190" t="n"/>
      <c r="P351" s="190" t="n"/>
      <c r="Q351" s="191" t="n"/>
      <c r="R351" s="191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n"/>
      <c r="C352" s="190" t="n"/>
      <c r="D352" s="190" t="n"/>
      <c r="E352" s="190" t="n"/>
      <c r="F352" s="190" t="n"/>
      <c r="G352" s="189" t="n"/>
      <c r="H352" s="189" t="n"/>
      <c r="I352" s="189" t="n"/>
      <c r="J352" s="190" t="n"/>
      <c r="K352" s="190" t="n"/>
      <c r="L352" s="189" t="n"/>
      <c r="M352" s="189" t="n"/>
      <c r="N352" s="190" t="n"/>
      <c r="O352" s="190" t="n"/>
      <c r="P352" s="190" t="n"/>
      <c r="Q352" s="191" t="n"/>
      <c r="R352" s="191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n"/>
      <c r="C353" s="190" t="n"/>
      <c r="D353" s="190" t="n"/>
      <c r="E353" s="190" t="n"/>
      <c r="F353" s="190" t="n"/>
      <c r="G353" s="189" t="n"/>
      <c r="H353" s="189" t="n"/>
      <c r="I353" s="189" t="n"/>
      <c r="J353" s="190" t="n"/>
      <c r="K353" s="190" t="n"/>
      <c r="L353" s="189" t="n"/>
      <c r="M353" s="189" t="n"/>
      <c r="N353" s="190" t="n"/>
      <c r="O353" s="190" t="n"/>
      <c r="P353" s="190" t="n"/>
      <c r="Q353" s="191" t="n"/>
      <c r="R353" s="191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n"/>
      <c r="C354" s="190" t="n"/>
      <c r="D354" s="190" t="n"/>
      <c r="E354" s="190" t="n"/>
      <c r="F354" s="190" t="n"/>
      <c r="G354" s="189" t="n"/>
      <c r="H354" s="189" t="n"/>
      <c r="I354" s="189" t="n"/>
      <c r="J354" s="190" t="n"/>
      <c r="K354" s="190" t="n"/>
      <c r="L354" s="189" t="n"/>
      <c r="M354" s="189" t="n"/>
      <c r="N354" s="190" t="n"/>
      <c r="O354" s="190" t="n"/>
      <c r="P354" s="190" t="n"/>
      <c r="Q354" s="191" t="n"/>
      <c r="R354" s="191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n"/>
      <c r="C355" s="190" t="n"/>
      <c r="D355" s="190" t="n"/>
      <c r="E355" s="190" t="n"/>
      <c r="F355" s="190" t="n"/>
      <c r="G355" s="189" t="n"/>
      <c r="H355" s="189" t="n"/>
      <c r="I355" s="189" t="n"/>
      <c r="J355" s="190" t="n"/>
      <c r="K355" s="190" t="n"/>
      <c r="L355" s="189" t="n"/>
      <c r="M355" s="189" t="n"/>
      <c r="N355" s="190" t="n"/>
      <c r="O355" s="190" t="n"/>
      <c r="P355" s="190" t="n"/>
      <c r="Q355" s="191" t="n"/>
      <c r="R355" s="191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n"/>
      <c r="C356" s="190" t="n"/>
      <c r="D356" s="190" t="n"/>
      <c r="E356" s="190" t="n"/>
      <c r="F356" s="190" t="n"/>
      <c r="G356" s="189" t="n"/>
      <c r="H356" s="189" t="n"/>
      <c r="I356" s="189" t="n"/>
      <c r="J356" s="190" t="n"/>
      <c r="K356" s="190" t="n"/>
      <c r="L356" s="189" t="n"/>
      <c r="M356" s="189" t="n"/>
      <c r="N356" s="190" t="n"/>
      <c r="O356" s="190" t="n"/>
      <c r="P356" s="190" t="n"/>
      <c r="Q356" s="191" t="n"/>
      <c r="R356" s="191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n"/>
      <c r="C357" s="190" t="n"/>
      <c r="D357" s="190" t="n"/>
      <c r="E357" s="190" t="n"/>
      <c r="F357" s="190" t="n"/>
      <c r="G357" s="189" t="n"/>
      <c r="H357" s="189" t="n"/>
      <c r="I357" s="189" t="n"/>
      <c r="J357" s="190" t="n"/>
      <c r="K357" s="190" t="n"/>
      <c r="L357" s="189" t="n"/>
      <c r="M357" s="189" t="n"/>
      <c r="N357" s="190" t="n"/>
      <c r="O357" s="190" t="n"/>
      <c r="P357" s="190" t="n"/>
      <c r="Q357" s="191" t="n"/>
      <c r="R357" s="191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n"/>
      <c r="C358" s="190" t="n"/>
      <c r="D358" s="190" t="n"/>
      <c r="E358" s="190" t="n"/>
      <c r="F358" s="190" t="n"/>
      <c r="G358" s="189" t="n"/>
      <c r="H358" s="189" t="n"/>
      <c r="I358" s="189" t="n"/>
      <c r="J358" s="190" t="n"/>
      <c r="K358" s="190" t="n"/>
      <c r="L358" s="189" t="n"/>
      <c r="M358" s="189" t="n"/>
      <c r="N358" s="190" t="n"/>
      <c r="O358" s="190" t="n"/>
      <c r="P358" s="190" t="n"/>
      <c r="Q358" s="191" t="n"/>
      <c r="R358" s="191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n"/>
      <c r="C359" s="190" t="n"/>
      <c r="D359" s="190" t="n"/>
      <c r="E359" s="190" t="n"/>
      <c r="F359" s="190" t="n"/>
      <c r="G359" s="189" t="n"/>
      <c r="H359" s="189" t="n"/>
      <c r="I359" s="189" t="n"/>
      <c r="J359" s="190" t="n"/>
      <c r="K359" s="190" t="n"/>
      <c r="L359" s="189" t="n"/>
      <c r="M359" s="189" t="n"/>
      <c r="N359" s="190" t="n"/>
      <c r="O359" s="190" t="n"/>
      <c r="P359" s="190" t="n"/>
      <c r="Q359" s="191" t="n"/>
      <c r="R359" s="191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n"/>
      <c r="C360" s="190" t="n"/>
      <c r="D360" s="190" t="n"/>
      <c r="E360" s="190" t="n"/>
      <c r="F360" s="190" t="n"/>
      <c r="G360" s="189" t="n"/>
      <c r="H360" s="189" t="n"/>
      <c r="I360" s="189" t="n"/>
      <c r="J360" s="190" t="n"/>
      <c r="K360" s="190" t="n"/>
      <c r="L360" s="189" t="n"/>
      <c r="M360" s="189" t="n"/>
      <c r="N360" s="190" t="n"/>
      <c r="O360" s="190" t="n"/>
      <c r="P360" s="190" t="n"/>
      <c r="Q360" s="191" t="n"/>
      <c r="R360" s="191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n"/>
      <c r="C361" s="190" t="n"/>
      <c r="D361" s="190" t="n"/>
      <c r="E361" s="190" t="n"/>
      <c r="F361" s="190" t="n"/>
      <c r="G361" s="189" t="n"/>
      <c r="H361" s="189" t="n"/>
      <c r="I361" s="189" t="n"/>
      <c r="J361" s="190" t="n"/>
      <c r="K361" s="190" t="n"/>
      <c r="L361" s="189" t="n"/>
      <c r="M361" s="189" t="n"/>
      <c r="N361" s="190" t="n"/>
      <c r="O361" s="190" t="n"/>
      <c r="P361" s="190" t="n"/>
      <c r="Q361" s="191" t="n"/>
      <c r="R361" s="191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n"/>
      <c r="C362" s="190" t="n"/>
      <c r="D362" s="190" t="n"/>
      <c r="E362" s="190" t="n"/>
      <c r="F362" s="190" t="n"/>
      <c r="G362" s="189" t="n"/>
      <c r="H362" s="189" t="n"/>
      <c r="I362" s="189" t="n"/>
      <c r="J362" s="190" t="n"/>
      <c r="K362" s="190" t="n"/>
      <c r="L362" s="189" t="n"/>
      <c r="M362" s="189" t="n"/>
      <c r="N362" s="190" t="n"/>
      <c r="O362" s="190" t="n"/>
      <c r="P362" s="190" t="n"/>
      <c r="Q362" s="191" t="n"/>
      <c r="R362" s="191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n"/>
      <c r="C363" s="190" t="n"/>
      <c r="D363" s="190" t="n"/>
      <c r="E363" s="190" t="n"/>
      <c r="F363" s="190" t="n"/>
      <c r="G363" s="189" t="n"/>
      <c r="H363" s="189" t="n"/>
      <c r="I363" s="189" t="n"/>
      <c r="J363" s="190" t="n"/>
      <c r="K363" s="190" t="n"/>
      <c r="L363" s="189" t="n"/>
      <c r="M363" s="189" t="n"/>
      <c r="N363" s="190" t="n"/>
      <c r="O363" s="190" t="n"/>
      <c r="P363" s="190" t="n"/>
      <c r="Q363" s="191" t="n"/>
      <c r="R363" s="191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n"/>
      <c r="C364" s="190" t="n"/>
      <c r="D364" s="190" t="n"/>
      <c r="E364" s="190" t="n"/>
      <c r="F364" s="190" t="n"/>
      <c r="G364" s="189" t="n"/>
      <c r="H364" s="189" t="n"/>
      <c r="I364" s="189" t="n"/>
      <c r="J364" s="190" t="n"/>
      <c r="K364" s="190" t="n"/>
      <c r="L364" s="189" t="n"/>
      <c r="M364" s="189" t="n"/>
      <c r="N364" s="190" t="n"/>
      <c r="O364" s="190" t="n"/>
      <c r="P364" s="190" t="n"/>
      <c r="Q364" s="191" t="n"/>
      <c r="R364" s="191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n"/>
      <c r="C365" s="190" t="n"/>
      <c r="D365" s="190" t="n"/>
      <c r="E365" s="190" t="n"/>
      <c r="F365" s="190" t="n"/>
      <c r="G365" s="189" t="n"/>
      <c r="H365" s="189" t="n"/>
      <c r="I365" s="189" t="n"/>
      <c r="J365" s="190" t="n"/>
      <c r="K365" s="190" t="n"/>
      <c r="L365" s="189" t="n"/>
      <c r="M365" s="189" t="n"/>
      <c r="N365" s="190" t="n"/>
      <c r="O365" s="190" t="n"/>
      <c r="P365" s="190" t="n"/>
      <c r="Q365" s="191" t="n"/>
      <c r="R365" s="191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n"/>
      <c r="C366" s="190" t="n"/>
      <c r="D366" s="190" t="n"/>
      <c r="E366" s="190" t="n"/>
      <c r="F366" s="190" t="n"/>
      <c r="G366" s="189" t="n"/>
      <c r="H366" s="189" t="n"/>
      <c r="I366" s="189" t="n"/>
      <c r="J366" s="190" t="n"/>
      <c r="K366" s="190" t="n"/>
      <c r="L366" s="189" t="n"/>
      <c r="M366" s="189" t="n"/>
      <c r="N366" s="190" t="n"/>
      <c r="O366" s="190" t="n"/>
      <c r="P366" s="190" t="n"/>
      <c r="Q366" s="191" t="n"/>
      <c r="R366" s="191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n"/>
      <c r="C367" s="190" t="n"/>
      <c r="D367" s="190" t="n"/>
      <c r="E367" s="190" t="n"/>
      <c r="F367" s="190" t="n"/>
      <c r="G367" s="189" t="n"/>
      <c r="H367" s="189" t="n"/>
      <c r="I367" s="189" t="n"/>
      <c r="J367" s="190" t="n"/>
      <c r="K367" s="190" t="n"/>
      <c r="L367" s="189" t="n"/>
      <c r="M367" s="189" t="n"/>
      <c r="N367" s="190" t="n"/>
      <c r="O367" s="190" t="n"/>
      <c r="P367" s="190" t="n"/>
      <c r="Q367" s="191" t="n"/>
      <c r="R367" s="191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n"/>
      <c r="C368" s="190" t="n"/>
      <c r="D368" s="190" t="n"/>
      <c r="E368" s="190" t="n"/>
      <c r="F368" s="190" t="n"/>
      <c r="G368" s="189" t="n"/>
      <c r="H368" s="189" t="n"/>
      <c r="I368" s="189" t="n"/>
      <c r="J368" s="190" t="n"/>
      <c r="K368" s="190" t="n"/>
      <c r="L368" s="189" t="n"/>
      <c r="M368" s="189" t="n"/>
      <c r="N368" s="190" t="n"/>
      <c r="O368" s="190" t="n"/>
      <c r="P368" s="190" t="n"/>
      <c r="Q368" s="191" t="n"/>
      <c r="R368" s="191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n"/>
      <c r="C369" s="190" t="n"/>
      <c r="D369" s="190" t="n"/>
      <c r="E369" s="190" t="n"/>
      <c r="F369" s="190" t="n"/>
      <c r="G369" s="189" t="n"/>
      <c r="H369" s="189" t="n"/>
      <c r="I369" s="189" t="n"/>
      <c r="J369" s="190" t="n"/>
      <c r="K369" s="190" t="n"/>
      <c r="L369" s="189" t="n"/>
      <c r="M369" s="189" t="n"/>
      <c r="N369" s="190" t="n"/>
      <c r="O369" s="190" t="n"/>
      <c r="P369" s="190" t="n"/>
      <c r="Q369" s="191" t="n"/>
      <c r="R369" s="191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n"/>
      <c r="C370" s="190" t="n"/>
      <c r="D370" s="190" t="n"/>
      <c r="E370" s="190" t="n"/>
      <c r="F370" s="190" t="n"/>
      <c r="G370" s="189" t="n"/>
      <c r="H370" s="189" t="n"/>
      <c r="I370" s="189" t="n"/>
      <c r="J370" s="190" t="n"/>
      <c r="K370" s="190" t="n"/>
      <c r="L370" s="189" t="n"/>
      <c r="M370" s="189" t="n"/>
      <c r="N370" s="190" t="n"/>
      <c r="O370" s="190" t="n"/>
      <c r="P370" s="190" t="n"/>
      <c r="Q370" s="191" t="n"/>
      <c r="R370" s="191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n"/>
      <c r="C371" s="190" t="n"/>
      <c r="D371" s="190" t="n"/>
      <c r="E371" s="190" t="n"/>
      <c r="F371" s="190" t="n"/>
      <c r="G371" s="189" t="n"/>
      <c r="H371" s="189" t="n"/>
      <c r="I371" s="189" t="n"/>
      <c r="J371" s="190" t="n"/>
      <c r="K371" s="190" t="n"/>
      <c r="L371" s="189" t="n"/>
      <c r="M371" s="189" t="n"/>
      <c r="N371" s="190" t="n"/>
      <c r="O371" s="190" t="n"/>
      <c r="P371" s="190" t="n"/>
      <c r="Q371" s="191" t="n"/>
      <c r="R371" s="191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n"/>
      <c r="C372" s="190" t="n"/>
      <c r="D372" s="190" t="n"/>
      <c r="E372" s="190" t="n"/>
      <c r="F372" s="190" t="n"/>
      <c r="G372" s="189" t="n"/>
      <c r="H372" s="189" t="n"/>
      <c r="I372" s="189" t="n"/>
      <c r="J372" s="190" t="n"/>
      <c r="K372" s="190" t="n"/>
      <c r="L372" s="189" t="n"/>
      <c r="M372" s="189" t="n"/>
      <c r="N372" s="190" t="n"/>
      <c r="O372" s="190" t="n"/>
      <c r="P372" s="190" t="n"/>
      <c r="Q372" s="191" t="n"/>
      <c r="R372" s="191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n"/>
      <c r="C373" s="190" t="n"/>
      <c r="D373" s="190" t="n"/>
      <c r="E373" s="190" t="n"/>
      <c r="F373" s="190" t="n"/>
      <c r="G373" s="189" t="n"/>
      <c r="H373" s="189" t="n"/>
      <c r="I373" s="189" t="n"/>
      <c r="J373" s="190" t="n"/>
      <c r="K373" s="190" t="n"/>
      <c r="L373" s="189" t="n"/>
      <c r="M373" s="189" t="n"/>
      <c r="N373" s="190" t="n"/>
      <c r="O373" s="190" t="n"/>
      <c r="P373" s="190" t="n"/>
      <c r="Q373" s="191" t="n"/>
      <c r="R373" s="191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n"/>
      <c r="C374" s="190" t="n"/>
      <c r="D374" s="190" t="n"/>
      <c r="E374" s="190" t="n"/>
      <c r="F374" s="190" t="n"/>
      <c r="G374" s="189" t="n"/>
      <c r="H374" s="189" t="n"/>
      <c r="I374" s="189" t="n"/>
      <c r="J374" s="190" t="n"/>
      <c r="K374" s="190" t="n"/>
      <c r="L374" s="189" t="n"/>
      <c r="M374" s="189" t="n"/>
      <c r="N374" s="190" t="n"/>
      <c r="O374" s="190" t="n"/>
      <c r="P374" s="190" t="n"/>
      <c r="Q374" s="191" t="n"/>
      <c r="R374" s="191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n"/>
      <c r="C375" s="190" t="n"/>
      <c r="D375" s="190" t="n"/>
      <c r="E375" s="190" t="n"/>
      <c r="F375" s="190" t="n"/>
      <c r="G375" s="189" t="n"/>
      <c r="H375" s="189" t="n"/>
      <c r="I375" s="189" t="n"/>
      <c r="J375" s="190" t="n"/>
      <c r="K375" s="190" t="n"/>
      <c r="L375" s="189" t="n"/>
      <c r="M375" s="189" t="n"/>
      <c r="N375" s="190" t="n"/>
      <c r="O375" s="190" t="n"/>
      <c r="P375" s="190" t="n"/>
      <c r="Q375" s="191" t="n"/>
      <c r="R375" s="191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n"/>
      <c r="C376" s="190" t="n"/>
      <c r="D376" s="190" t="n"/>
      <c r="E376" s="190" t="n"/>
      <c r="F376" s="190" t="n"/>
      <c r="G376" s="189" t="n"/>
      <c r="H376" s="189" t="n"/>
      <c r="I376" s="189" t="n"/>
      <c r="J376" s="190" t="n"/>
      <c r="K376" s="190" t="n"/>
      <c r="L376" s="189" t="n"/>
      <c r="M376" s="189" t="n"/>
      <c r="N376" s="190" t="n"/>
      <c r="O376" s="190" t="n"/>
      <c r="P376" s="190" t="n"/>
      <c r="Q376" s="191" t="n"/>
      <c r="R376" s="191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n"/>
      <c r="C377" s="190" t="n"/>
      <c r="D377" s="190" t="n"/>
      <c r="E377" s="190" t="n"/>
      <c r="F377" s="190" t="n"/>
      <c r="G377" s="189" t="n"/>
      <c r="H377" s="189" t="n"/>
      <c r="I377" s="189" t="n"/>
      <c r="J377" s="190" t="n"/>
      <c r="K377" s="190" t="n"/>
      <c r="L377" s="189" t="n"/>
      <c r="M377" s="189" t="n"/>
      <c r="N377" s="190" t="n"/>
      <c r="O377" s="190" t="n"/>
      <c r="P377" s="190" t="n"/>
      <c r="Q377" s="191" t="n"/>
      <c r="R377" s="191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n"/>
      <c r="C378" s="190" t="n"/>
      <c r="D378" s="190" t="n"/>
      <c r="E378" s="190" t="n"/>
      <c r="F378" s="190" t="n"/>
      <c r="G378" s="189" t="n"/>
      <c r="H378" s="189" t="n"/>
      <c r="I378" s="189" t="n"/>
      <c r="J378" s="190" t="n"/>
      <c r="K378" s="190" t="n"/>
      <c r="L378" s="189" t="n"/>
      <c r="M378" s="189" t="n"/>
      <c r="N378" s="190" t="n"/>
      <c r="O378" s="190" t="n"/>
      <c r="P378" s="190" t="n"/>
      <c r="Q378" s="191" t="n"/>
      <c r="R378" s="191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n"/>
      <c r="C379" s="190" t="n"/>
      <c r="D379" s="190" t="n"/>
      <c r="E379" s="190" t="n"/>
      <c r="F379" s="190" t="n"/>
      <c r="G379" s="189" t="n"/>
      <c r="H379" s="189" t="n"/>
      <c r="I379" s="189" t="n"/>
      <c r="J379" s="190" t="n"/>
      <c r="K379" s="190" t="n"/>
      <c r="L379" s="189" t="n"/>
      <c r="M379" s="189" t="n"/>
      <c r="N379" s="190" t="n"/>
      <c r="O379" s="190" t="n"/>
      <c r="P379" s="190" t="n"/>
      <c r="Q379" s="191" t="n"/>
      <c r="R379" s="191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n"/>
      <c r="C380" s="190" t="n"/>
      <c r="D380" s="190" t="n"/>
      <c r="E380" s="190" t="n"/>
      <c r="F380" s="190" t="n"/>
      <c r="G380" s="189" t="n"/>
      <c r="H380" s="189" t="n"/>
      <c r="I380" s="189" t="n"/>
      <c r="J380" s="190" t="n"/>
      <c r="K380" s="190" t="n"/>
      <c r="L380" s="189" t="n"/>
      <c r="M380" s="189" t="n"/>
      <c r="N380" s="190" t="n"/>
      <c r="O380" s="190" t="n"/>
      <c r="P380" s="190" t="n"/>
      <c r="Q380" s="191" t="n"/>
      <c r="R380" s="191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n"/>
      <c r="C381" s="190" t="n"/>
      <c r="D381" s="190" t="n"/>
      <c r="E381" s="190" t="n"/>
      <c r="F381" s="190" t="n"/>
      <c r="G381" s="189" t="n"/>
      <c r="H381" s="189" t="n"/>
      <c r="I381" s="189" t="n"/>
      <c r="J381" s="190" t="n"/>
      <c r="K381" s="190" t="n"/>
      <c r="L381" s="189" t="n"/>
      <c r="M381" s="189" t="n"/>
      <c r="N381" s="190" t="n"/>
      <c r="O381" s="190" t="n"/>
      <c r="P381" s="190" t="n"/>
      <c r="Q381" s="191" t="n"/>
      <c r="R381" s="191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n"/>
      <c r="C382" s="190" t="n"/>
      <c r="D382" s="190" t="n"/>
      <c r="E382" s="190" t="n"/>
      <c r="F382" s="190" t="n"/>
      <c r="G382" s="189" t="n"/>
      <c r="H382" s="189" t="n"/>
      <c r="I382" s="189" t="n"/>
      <c r="J382" s="190" t="n"/>
      <c r="K382" s="190" t="n"/>
      <c r="L382" s="189" t="n"/>
      <c r="M382" s="189" t="n"/>
      <c r="N382" s="190" t="n"/>
      <c r="O382" s="190" t="n"/>
      <c r="P382" s="190" t="n"/>
      <c r="Q382" s="191" t="n"/>
      <c r="R382" s="191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n"/>
      <c r="C383" s="190" t="n"/>
      <c r="D383" s="190" t="n"/>
      <c r="E383" s="190" t="n"/>
      <c r="F383" s="190" t="n"/>
      <c r="G383" s="189" t="n"/>
      <c r="H383" s="189" t="n"/>
      <c r="I383" s="189" t="n"/>
      <c r="J383" s="190" t="n"/>
      <c r="K383" s="190" t="n"/>
      <c r="L383" s="189" t="n"/>
      <c r="M383" s="189" t="n"/>
      <c r="N383" s="190" t="n"/>
      <c r="O383" s="190" t="n"/>
      <c r="P383" s="190" t="n"/>
      <c r="Q383" s="191" t="n"/>
      <c r="R383" s="191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n"/>
      <c r="C384" s="190" t="n"/>
      <c r="D384" s="190" t="n"/>
      <c r="E384" s="190" t="n"/>
      <c r="F384" s="190" t="n"/>
      <c r="G384" s="189" t="n"/>
      <c r="H384" s="189" t="n"/>
      <c r="I384" s="189" t="n"/>
      <c r="J384" s="190" t="n"/>
      <c r="K384" s="190" t="n"/>
      <c r="L384" s="189" t="n"/>
      <c r="M384" s="189" t="n"/>
      <c r="N384" s="190" t="n"/>
      <c r="O384" s="190" t="n"/>
      <c r="P384" s="190" t="n"/>
      <c r="Q384" s="191" t="n"/>
      <c r="R384" s="191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n"/>
      <c r="C385" s="190" t="n"/>
      <c r="D385" s="190" t="n"/>
      <c r="E385" s="190" t="n"/>
      <c r="F385" s="190" t="n"/>
      <c r="G385" s="189" t="n"/>
      <c r="H385" s="189" t="n"/>
      <c r="I385" s="189" t="n"/>
      <c r="J385" s="190" t="n"/>
      <c r="K385" s="190" t="n"/>
      <c r="L385" s="189" t="n"/>
      <c r="M385" s="189" t="n"/>
      <c r="N385" s="190" t="n"/>
      <c r="O385" s="190" t="n"/>
      <c r="P385" s="190" t="n"/>
      <c r="Q385" s="191" t="n"/>
      <c r="R385" s="191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n"/>
      <c r="C386" s="190" t="n"/>
      <c r="D386" s="190" t="n"/>
      <c r="E386" s="190" t="n"/>
      <c r="F386" s="190" t="n"/>
      <c r="G386" s="189" t="n"/>
      <c r="H386" s="189" t="n"/>
      <c r="I386" s="189" t="n"/>
      <c r="J386" s="190" t="n"/>
      <c r="K386" s="190" t="n"/>
      <c r="L386" s="189" t="n"/>
      <c r="M386" s="189" t="n"/>
      <c r="N386" s="190" t="n"/>
      <c r="O386" s="190" t="n"/>
      <c r="P386" s="190" t="n"/>
      <c r="Q386" s="191" t="n"/>
      <c r="R386" s="191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n"/>
      <c r="C387" s="190" t="n"/>
      <c r="D387" s="190" t="n"/>
      <c r="E387" s="190" t="n"/>
      <c r="F387" s="190" t="n"/>
      <c r="G387" s="189" t="n"/>
      <c r="H387" s="189" t="n"/>
      <c r="I387" s="189" t="n"/>
      <c r="J387" s="190" t="n"/>
      <c r="K387" s="190" t="n"/>
      <c r="L387" s="189" t="n"/>
      <c r="M387" s="189" t="n"/>
      <c r="N387" s="190" t="n"/>
      <c r="O387" s="190" t="n"/>
      <c r="P387" s="190" t="n"/>
      <c r="Q387" s="191" t="n"/>
      <c r="R387" s="191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n"/>
      <c r="C388" s="190" t="n"/>
      <c r="D388" s="190" t="n"/>
      <c r="E388" s="190" t="n"/>
      <c r="F388" s="190" t="n"/>
      <c r="G388" s="189" t="n"/>
      <c r="H388" s="189" t="n"/>
      <c r="I388" s="189" t="n"/>
      <c r="J388" s="190" t="n"/>
      <c r="K388" s="190" t="n"/>
      <c r="L388" s="189" t="n"/>
      <c r="M388" s="189" t="n"/>
      <c r="N388" s="190" t="n"/>
      <c r="O388" s="190" t="n"/>
      <c r="P388" s="190" t="n"/>
      <c r="Q388" s="191" t="n"/>
      <c r="R388" s="191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n"/>
      <c r="C389" s="190" t="n"/>
      <c r="D389" s="190" t="n"/>
      <c r="E389" s="190" t="n"/>
      <c r="F389" s="190" t="n"/>
      <c r="G389" s="189" t="n"/>
      <c r="H389" s="189" t="n"/>
      <c r="I389" s="189" t="n"/>
      <c r="J389" s="190" t="n"/>
      <c r="K389" s="190" t="n"/>
      <c r="L389" s="189" t="n"/>
      <c r="M389" s="189" t="n"/>
      <c r="N389" s="190" t="n"/>
      <c r="O389" s="190" t="n"/>
      <c r="P389" s="190" t="n"/>
      <c r="Q389" s="191" t="n"/>
      <c r="R389" s="191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n"/>
      <c r="C390" s="190" t="n"/>
      <c r="D390" s="190" t="n"/>
      <c r="E390" s="190" t="n"/>
      <c r="F390" s="190" t="n"/>
      <c r="G390" s="189" t="n"/>
      <c r="H390" s="189" t="n"/>
      <c r="I390" s="189" t="n"/>
      <c r="J390" s="190" t="n"/>
      <c r="K390" s="190" t="n"/>
      <c r="L390" s="189" t="n"/>
      <c r="M390" s="189" t="n"/>
      <c r="N390" s="190" t="n"/>
      <c r="O390" s="190" t="n"/>
      <c r="P390" s="190" t="n"/>
      <c r="Q390" s="191" t="n"/>
      <c r="R390" s="191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n"/>
      <c r="C391" s="190" t="n"/>
      <c r="D391" s="190" t="n"/>
      <c r="E391" s="190" t="n"/>
      <c r="F391" s="190" t="n"/>
      <c r="G391" s="189" t="n"/>
      <c r="H391" s="189" t="n"/>
      <c r="I391" s="189" t="n"/>
      <c r="J391" s="190" t="n"/>
      <c r="K391" s="190" t="n"/>
      <c r="L391" s="189" t="n"/>
      <c r="M391" s="189" t="n"/>
      <c r="N391" s="190" t="n"/>
      <c r="O391" s="190" t="n"/>
      <c r="P391" s="190" t="n"/>
      <c r="Q391" s="191" t="n"/>
      <c r="R391" s="191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n"/>
      <c r="C392" s="190" t="n"/>
      <c r="D392" s="190" t="n"/>
      <c r="E392" s="190" t="n"/>
      <c r="F392" s="190" t="n"/>
      <c r="G392" s="189" t="n"/>
      <c r="H392" s="189" t="n"/>
      <c r="I392" s="189" t="n"/>
      <c r="J392" s="190" t="n"/>
      <c r="K392" s="190" t="n"/>
      <c r="L392" s="189" t="n"/>
      <c r="M392" s="189" t="n"/>
      <c r="N392" s="190" t="n"/>
      <c r="O392" s="190" t="n"/>
      <c r="P392" s="190" t="n"/>
      <c r="Q392" s="191" t="n"/>
      <c r="R392" s="191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n"/>
      <c r="C393" s="190" t="n"/>
      <c r="D393" s="190" t="n"/>
      <c r="E393" s="190" t="n"/>
      <c r="F393" s="190" t="n"/>
      <c r="G393" s="189" t="n"/>
      <c r="H393" s="189" t="n"/>
      <c r="I393" s="189" t="n"/>
      <c r="J393" s="190" t="n"/>
      <c r="K393" s="190" t="n"/>
      <c r="L393" s="189" t="n"/>
      <c r="M393" s="189" t="n"/>
      <c r="N393" s="190" t="n"/>
      <c r="O393" s="190" t="n"/>
      <c r="P393" s="190" t="n"/>
      <c r="Q393" s="191" t="n"/>
      <c r="R393" s="191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n"/>
      <c r="C394" s="190" t="n"/>
      <c r="D394" s="190" t="n"/>
      <c r="E394" s="190" t="n"/>
      <c r="F394" s="190" t="n"/>
      <c r="G394" s="189" t="n"/>
      <c r="H394" s="189" t="n"/>
      <c r="I394" s="189" t="n"/>
      <c r="J394" s="190" t="n"/>
      <c r="K394" s="190" t="n"/>
      <c r="L394" s="189" t="n"/>
      <c r="M394" s="189" t="n"/>
      <c r="N394" s="190" t="n"/>
      <c r="O394" s="190" t="n"/>
      <c r="P394" s="190" t="n"/>
      <c r="Q394" s="191" t="n"/>
      <c r="R394" s="191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n"/>
      <c r="C395" s="190" t="n"/>
      <c r="D395" s="190" t="n"/>
      <c r="E395" s="190" t="n"/>
      <c r="F395" s="190" t="n"/>
      <c r="G395" s="189" t="n"/>
      <c r="H395" s="189" t="n"/>
      <c r="I395" s="189" t="n"/>
      <c r="J395" s="190" t="n"/>
      <c r="K395" s="190" t="n"/>
      <c r="L395" s="189" t="n"/>
      <c r="M395" s="189" t="n"/>
      <c r="N395" s="190" t="n"/>
      <c r="O395" s="190" t="n"/>
      <c r="P395" s="190" t="n"/>
      <c r="Q395" s="191" t="n"/>
      <c r="R395" s="191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n"/>
      <c r="C396" s="190" t="n"/>
      <c r="D396" s="190" t="n"/>
      <c r="E396" s="190" t="n"/>
      <c r="F396" s="190" t="n"/>
      <c r="G396" s="189" t="n"/>
      <c r="H396" s="189" t="n"/>
      <c r="I396" s="189" t="n"/>
      <c r="J396" s="190" t="n"/>
      <c r="K396" s="190" t="n"/>
      <c r="L396" s="189" t="n"/>
      <c r="M396" s="189" t="n"/>
      <c r="N396" s="190" t="n"/>
      <c r="O396" s="190" t="n"/>
      <c r="P396" s="190" t="n"/>
      <c r="Q396" s="191" t="n"/>
      <c r="R396" s="191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n"/>
      <c r="C397" s="190" t="n"/>
      <c r="D397" s="190" t="n"/>
      <c r="E397" s="190" t="n"/>
      <c r="F397" s="190" t="n"/>
      <c r="G397" s="189" t="n"/>
      <c r="H397" s="189" t="n"/>
      <c r="I397" s="189" t="n"/>
      <c r="J397" s="190" t="n"/>
      <c r="K397" s="190" t="n"/>
      <c r="L397" s="189" t="n"/>
      <c r="M397" s="189" t="n"/>
      <c r="N397" s="190" t="n"/>
      <c r="O397" s="190" t="n"/>
      <c r="P397" s="190" t="n"/>
      <c r="Q397" s="191" t="n"/>
      <c r="R397" s="191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n"/>
      <c r="C398" s="190" t="n"/>
      <c r="D398" s="190" t="n"/>
      <c r="E398" s="190" t="n"/>
      <c r="F398" s="190" t="n"/>
      <c r="G398" s="189" t="n"/>
      <c r="H398" s="189" t="n"/>
      <c r="I398" s="189" t="n"/>
      <c r="J398" s="190" t="n"/>
      <c r="K398" s="190" t="n"/>
      <c r="L398" s="189" t="n"/>
      <c r="M398" s="189" t="n"/>
      <c r="N398" s="190" t="n"/>
      <c r="O398" s="190" t="n"/>
      <c r="P398" s="190" t="n"/>
      <c r="Q398" s="191" t="n"/>
      <c r="R398" s="191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n"/>
      <c r="C399" s="190" t="n"/>
      <c r="D399" s="190" t="n"/>
      <c r="E399" s="190" t="n"/>
      <c r="F399" s="190" t="n"/>
      <c r="G399" s="189" t="n"/>
      <c r="H399" s="189" t="n"/>
      <c r="I399" s="189" t="n"/>
      <c r="J399" s="190" t="n"/>
      <c r="K399" s="190" t="n"/>
      <c r="L399" s="189" t="n"/>
      <c r="M399" s="189" t="n"/>
      <c r="N399" s="190" t="n"/>
      <c r="O399" s="190" t="n"/>
      <c r="P399" s="190" t="n"/>
      <c r="Q399" s="191" t="n"/>
      <c r="R399" s="191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n"/>
      <c r="C400" s="190" t="n"/>
      <c r="D400" s="190" t="n"/>
      <c r="E400" s="190" t="n"/>
      <c r="F400" s="190" t="n"/>
      <c r="G400" s="189" t="n"/>
      <c r="H400" s="189" t="n"/>
      <c r="I400" s="189" t="n"/>
      <c r="J400" s="190" t="n"/>
      <c r="K400" s="190" t="n"/>
      <c r="L400" s="189" t="n"/>
      <c r="M400" s="189" t="n"/>
      <c r="N400" s="190" t="n"/>
      <c r="O400" s="190" t="n"/>
      <c r="P400" s="190" t="n"/>
      <c r="Q400" s="191" t="n"/>
      <c r="R400" s="191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n"/>
      <c r="C401" s="190" t="n"/>
      <c r="D401" s="190" t="n"/>
      <c r="E401" s="190" t="n"/>
      <c r="F401" s="190" t="n"/>
      <c r="G401" s="189" t="n"/>
      <c r="H401" s="189" t="n"/>
      <c r="I401" s="189" t="n"/>
      <c r="J401" s="190" t="n"/>
      <c r="K401" s="190" t="n"/>
      <c r="L401" s="189" t="n"/>
      <c r="M401" s="189" t="n"/>
      <c r="N401" s="190" t="n"/>
      <c r="O401" s="190" t="n"/>
      <c r="P401" s="190" t="n"/>
      <c r="Q401" s="191" t="n"/>
      <c r="R401" s="191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n"/>
      <c r="C402" s="190" t="n"/>
      <c r="D402" s="190" t="n"/>
      <c r="E402" s="190" t="n"/>
      <c r="F402" s="190" t="n"/>
      <c r="G402" s="189" t="n"/>
      <c r="H402" s="189" t="n"/>
      <c r="I402" s="189" t="n"/>
      <c r="J402" s="190" t="n"/>
      <c r="K402" s="190" t="n"/>
      <c r="L402" s="189" t="n"/>
      <c r="M402" s="189" t="n"/>
      <c r="N402" s="190" t="n"/>
      <c r="O402" s="190" t="n"/>
      <c r="P402" s="190" t="n"/>
      <c r="Q402" s="191" t="n"/>
      <c r="R402" s="191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n"/>
      <c r="C403" s="190" t="n"/>
      <c r="D403" s="190" t="n"/>
      <c r="E403" s="190" t="n"/>
      <c r="F403" s="190" t="n"/>
      <c r="G403" s="189" t="n"/>
      <c r="H403" s="189" t="n"/>
      <c r="I403" s="189" t="n"/>
      <c r="J403" s="190" t="n"/>
      <c r="K403" s="190" t="n"/>
      <c r="L403" s="189" t="n"/>
      <c r="M403" s="189" t="n"/>
      <c r="N403" s="190" t="n"/>
      <c r="O403" s="190" t="n"/>
      <c r="P403" s="190" t="n"/>
      <c r="Q403" s="191" t="n"/>
      <c r="R403" s="191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n"/>
      <c r="C404" s="190" t="n"/>
      <c r="D404" s="190" t="n"/>
      <c r="E404" s="190" t="n"/>
      <c r="F404" s="190" t="n"/>
      <c r="G404" s="189" t="n"/>
      <c r="H404" s="189" t="n"/>
      <c r="I404" s="189" t="n"/>
      <c r="J404" s="190" t="n"/>
      <c r="K404" s="190" t="n"/>
      <c r="L404" s="189" t="n"/>
      <c r="M404" s="189" t="n"/>
      <c r="N404" s="190" t="n"/>
      <c r="O404" s="190" t="n"/>
      <c r="P404" s="190" t="n"/>
      <c r="Q404" s="191" t="n"/>
      <c r="R404" s="191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n"/>
      <c r="C405" s="190" t="n"/>
      <c r="D405" s="190" t="n"/>
      <c r="E405" s="190" t="n"/>
      <c r="F405" s="190" t="n"/>
      <c r="G405" s="189" t="n"/>
      <c r="H405" s="189" t="n"/>
      <c r="I405" s="189" t="n"/>
      <c r="J405" s="190" t="n"/>
      <c r="K405" s="190" t="n"/>
      <c r="L405" s="189" t="n"/>
      <c r="M405" s="189" t="n"/>
      <c r="N405" s="190" t="n"/>
      <c r="O405" s="190" t="n"/>
      <c r="P405" s="190" t="n"/>
      <c r="Q405" s="191" t="n"/>
      <c r="R405" s="191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n"/>
      <c r="C406" s="190" t="n"/>
      <c r="D406" s="190" t="n"/>
      <c r="E406" s="190" t="n"/>
      <c r="F406" s="190" t="n"/>
      <c r="G406" s="189" t="n"/>
      <c r="H406" s="189" t="n"/>
      <c r="I406" s="189" t="n"/>
      <c r="J406" s="190" t="n"/>
      <c r="K406" s="190" t="n"/>
      <c r="L406" s="189" t="n"/>
      <c r="M406" s="189" t="n"/>
      <c r="N406" s="190" t="n"/>
      <c r="O406" s="190" t="n"/>
      <c r="P406" s="190" t="n"/>
      <c r="Q406" s="191" t="n"/>
      <c r="R406" s="191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n"/>
      <c r="C407" s="190" t="n"/>
      <c r="D407" s="190" t="n"/>
      <c r="E407" s="190" t="n"/>
      <c r="F407" s="190" t="n"/>
      <c r="G407" s="189" t="n"/>
      <c r="H407" s="189" t="n"/>
      <c r="I407" s="189" t="n"/>
      <c r="J407" s="190" t="n"/>
      <c r="K407" s="190" t="n"/>
      <c r="L407" s="189" t="n"/>
      <c r="M407" s="189" t="n"/>
      <c r="N407" s="190" t="n"/>
      <c r="O407" s="190" t="n"/>
      <c r="P407" s="190" t="n"/>
      <c r="Q407" s="191" t="n"/>
      <c r="R407" s="191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n"/>
      <c r="C408" s="190" t="n"/>
      <c r="D408" s="190" t="n"/>
      <c r="E408" s="190" t="n"/>
      <c r="F408" s="190" t="n"/>
      <c r="G408" s="189" t="n"/>
      <c r="H408" s="189" t="n"/>
      <c r="I408" s="189" t="n"/>
      <c r="J408" s="190" t="n"/>
      <c r="K408" s="190" t="n"/>
      <c r="L408" s="189" t="n"/>
      <c r="M408" s="189" t="n"/>
      <c r="N408" s="190" t="n"/>
      <c r="O408" s="190" t="n"/>
      <c r="P408" s="190" t="n"/>
      <c r="Q408" s="191" t="n"/>
      <c r="R408" s="191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n"/>
      <c r="C409" s="190" t="n"/>
      <c r="D409" s="190" t="n"/>
      <c r="E409" s="190" t="n"/>
      <c r="F409" s="190" t="n"/>
      <c r="G409" s="189" t="n"/>
      <c r="H409" s="189" t="n"/>
      <c r="I409" s="189" t="n"/>
      <c r="J409" s="190" t="n"/>
      <c r="K409" s="190" t="n"/>
      <c r="L409" s="189" t="n"/>
      <c r="M409" s="189" t="n"/>
      <c r="N409" s="190" t="n"/>
      <c r="O409" s="190" t="n"/>
      <c r="P409" s="190" t="n"/>
      <c r="Q409" s="191" t="n"/>
      <c r="R409" s="191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n"/>
      <c r="C410" s="190" t="n"/>
      <c r="D410" s="190" t="n"/>
      <c r="E410" s="190" t="n"/>
      <c r="F410" s="190" t="n"/>
      <c r="G410" s="189" t="n"/>
      <c r="H410" s="189" t="n"/>
      <c r="I410" s="189" t="n"/>
      <c r="J410" s="190" t="n"/>
      <c r="K410" s="190" t="n"/>
      <c r="L410" s="189" t="n"/>
      <c r="M410" s="189" t="n"/>
      <c r="N410" s="190" t="n"/>
      <c r="O410" s="190" t="n"/>
      <c r="P410" s="190" t="n"/>
      <c r="Q410" s="191" t="n"/>
      <c r="R410" s="191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n"/>
      <c r="C411" s="190" t="n"/>
      <c r="D411" s="190" t="n"/>
      <c r="E411" s="190" t="n"/>
      <c r="F411" s="190" t="n"/>
      <c r="G411" s="189" t="n"/>
      <c r="H411" s="189" t="n"/>
      <c r="I411" s="189" t="n"/>
      <c r="J411" s="190" t="n"/>
      <c r="K411" s="190" t="n"/>
      <c r="L411" s="189" t="n"/>
      <c r="M411" s="189" t="n"/>
      <c r="N411" s="190" t="n"/>
      <c r="O411" s="190" t="n"/>
      <c r="P411" s="190" t="n"/>
      <c r="Q411" s="191" t="n"/>
      <c r="R411" s="191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n"/>
      <c r="C412" s="190" t="n"/>
      <c r="D412" s="190" t="n"/>
      <c r="E412" s="190" t="n"/>
      <c r="F412" s="190" t="n"/>
      <c r="G412" s="189" t="n"/>
      <c r="H412" s="189" t="n"/>
      <c r="I412" s="189" t="n"/>
      <c r="J412" s="190" t="n"/>
      <c r="K412" s="190" t="n"/>
      <c r="L412" s="189" t="n"/>
      <c r="M412" s="189" t="n"/>
      <c r="N412" s="190" t="n"/>
      <c r="O412" s="190" t="n"/>
      <c r="P412" s="190" t="n"/>
      <c r="Q412" s="191" t="n"/>
      <c r="R412" s="191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n"/>
      <c r="C413" s="190" t="n"/>
      <c r="D413" s="190" t="n"/>
      <c r="E413" s="190" t="n"/>
      <c r="F413" s="190" t="n"/>
      <c r="G413" s="189" t="n"/>
      <c r="H413" s="189" t="n"/>
      <c r="I413" s="189" t="n"/>
      <c r="J413" s="190" t="n"/>
      <c r="K413" s="190" t="n"/>
      <c r="L413" s="189" t="n"/>
      <c r="M413" s="189" t="n"/>
      <c r="N413" s="190" t="n"/>
      <c r="O413" s="190" t="n"/>
      <c r="P413" s="190" t="n"/>
      <c r="Q413" s="191" t="n"/>
      <c r="R413" s="191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n"/>
      <c r="C414" s="190" t="n"/>
      <c r="D414" s="190" t="n"/>
      <c r="E414" s="190" t="n"/>
      <c r="F414" s="190" t="n"/>
      <c r="G414" s="189" t="n"/>
      <c r="H414" s="189" t="n"/>
      <c r="I414" s="189" t="n"/>
      <c r="J414" s="190" t="n"/>
      <c r="K414" s="190" t="n"/>
      <c r="L414" s="189" t="n"/>
      <c r="M414" s="189" t="n"/>
      <c r="N414" s="190" t="n"/>
      <c r="O414" s="190" t="n"/>
      <c r="P414" s="190" t="n"/>
      <c r="Q414" s="191" t="n"/>
      <c r="R414" s="191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n"/>
      <c r="C415" s="190" t="n"/>
      <c r="D415" s="190" t="n"/>
      <c r="E415" s="190" t="n"/>
      <c r="F415" s="190" t="n"/>
      <c r="G415" s="189" t="n"/>
      <c r="H415" s="189" t="n"/>
      <c r="I415" s="189" t="n"/>
      <c r="J415" s="190" t="n"/>
      <c r="K415" s="190" t="n"/>
      <c r="L415" s="189" t="n"/>
      <c r="M415" s="189" t="n"/>
      <c r="N415" s="190" t="n"/>
      <c r="O415" s="190" t="n"/>
      <c r="P415" s="190" t="n"/>
      <c r="Q415" s="191" t="n"/>
      <c r="R415" s="191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n"/>
      <c r="C416" s="190" t="n"/>
      <c r="D416" s="190" t="n"/>
      <c r="E416" s="190" t="n"/>
      <c r="F416" s="190" t="n"/>
      <c r="G416" s="189" t="n"/>
      <c r="H416" s="189" t="n"/>
      <c r="I416" s="189" t="n"/>
      <c r="J416" s="190" t="n"/>
      <c r="K416" s="190" t="n"/>
      <c r="L416" s="189" t="n"/>
      <c r="M416" s="189" t="n"/>
      <c r="N416" s="190" t="n"/>
      <c r="O416" s="190" t="n"/>
      <c r="P416" s="190" t="n"/>
      <c r="Q416" s="191" t="n"/>
      <c r="R416" s="191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n"/>
      <c r="C417" s="190" t="n"/>
      <c r="D417" s="190" t="n"/>
      <c r="E417" s="190" t="n"/>
      <c r="F417" s="190" t="n"/>
      <c r="G417" s="189" t="n"/>
      <c r="H417" s="189" t="n"/>
      <c r="I417" s="189" t="n"/>
      <c r="J417" s="190" t="n"/>
      <c r="K417" s="190" t="n"/>
      <c r="L417" s="189" t="n"/>
      <c r="M417" s="189" t="n"/>
      <c r="N417" s="190" t="n"/>
      <c r="O417" s="190" t="n"/>
      <c r="P417" s="190" t="n"/>
      <c r="Q417" s="191" t="n"/>
      <c r="R417" s="191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n"/>
      <c r="C418" s="190" t="n"/>
      <c r="D418" s="190" t="n"/>
      <c r="E418" s="190" t="n"/>
      <c r="F418" s="190" t="n"/>
      <c r="G418" s="189" t="n"/>
      <c r="H418" s="189" t="n"/>
      <c r="I418" s="189" t="n"/>
      <c r="J418" s="190" t="n"/>
      <c r="K418" s="190" t="n"/>
      <c r="L418" s="189" t="n"/>
      <c r="M418" s="189" t="n"/>
      <c r="N418" s="190" t="n"/>
      <c r="O418" s="190" t="n"/>
      <c r="P418" s="190" t="n"/>
      <c r="Q418" s="191" t="n"/>
      <c r="R418" s="191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n"/>
      <c r="C419" s="190" t="n"/>
      <c r="D419" s="190" t="n"/>
      <c r="E419" s="190" t="n"/>
      <c r="F419" s="190" t="n"/>
      <c r="G419" s="189" t="n"/>
      <c r="H419" s="189" t="n"/>
      <c r="I419" s="189" t="n"/>
      <c r="J419" s="190" t="n"/>
      <c r="K419" s="190" t="n"/>
      <c r="L419" s="189" t="n"/>
      <c r="M419" s="189" t="n"/>
      <c r="N419" s="190" t="n"/>
      <c r="O419" s="190" t="n"/>
      <c r="P419" s="190" t="n"/>
      <c r="Q419" s="191" t="n"/>
      <c r="R419" s="191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n"/>
      <c r="C420" s="190" t="n"/>
      <c r="D420" s="190" t="n"/>
      <c r="E420" s="190" t="n"/>
      <c r="F420" s="190" t="n"/>
      <c r="G420" s="189" t="n"/>
      <c r="H420" s="189" t="n"/>
      <c r="I420" s="189" t="n"/>
      <c r="J420" s="190" t="n"/>
      <c r="K420" s="190" t="n"/>
      <c r="L420" s="189" t="n"/>
      <c r="M420" s="189" t="n"/>
      <c r="N420" s="190" t="n"/>
      <c r="O420" s="190" t="n"/>
      <c r="P420" s="190" t="n"/>
      <c r="Q420" s="191" t="n"/>
      <c r="R420" s="191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n"/>
      <c r="C421" s="190" t="n"/>
      <c r="D421" s="190" t="n"/>
      <c r="E421" s="190" t="n"/>
      <c r="F421" s="190" t="n"/>
      <c r="G421" s="189" t="n"/>
      <c r="H421" s="189" t="n"/>
      <c r="I421" s="189" t="n"/>
      <c r="J421" s="190" t="n"/>
      <c r="K421" s="190" t="n"/>
      <c r="L421" s="189" t="n"/>
      <c r="M421" s="189" t="n"/>
      <c r="N421" s="190" t="n"/>
      <c r="O421" s="190" t="n"/>
      <c r="P421" s="190" t="n"/>
      <c r="Q421" s="191" t="n"/>
      <c r="R421" s="191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n"/>
      <c r="C422" s="190" t="n"/>
      <c r="D422" s="190" t="n"/>
      <c r="E422" s="190" t="n"/>
      <c r="F422" s="190" t="n"/>
      <c r="G422" s="189" t="n"/>
      <c r="H422" s="189" t="n"/>
      <c r="I422" s="189" t="n"/>
      <c r="J422" s="190" t="n"/>
      <c r="K422" s="190" t="n"/>
      <c r="L422" s="189" t="n"/>
      <c r="M422" s="189" t="n"/>
      <c r="N422" s="190" t="n"/>
      <c r="O422" s="190" t="n"/>
      <c r="P422" s="190" t="n"/>
      <c r="Q422" s="191" t="n"/>
      <c r="R422" s="191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n"/>
      <c r="C423" s="190" t="n"/>
      <c r="D423" s="190" t="n"/>
      <c r="E423" s="190" t="n"/>
      <c r="F423" s="190" t="n"/>
      <c r="G423" s="189" t="n"/>
      <c r="H423" s="189" t="n"/>
      <c r="I423" s="189" t="n"/>
      <c r="J423" s="190" t="n"/>
      <c r="K423" s="190" t="n"/>
      <c r="L423" s="189" t="n"/>
      <c r="M423" s="189" t="n"/>
      <c r="N423" s="190" t="n"/>
      <c r="O423" s="190" t="n"/>
      <c r="P423" s="190" t="n"/>
      <c r="Q423" s="191" t="n"/>
      <c r="R423" s="191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n"/>
      <c r="C424" s="190" t="n"/>
      <c r="D424" s="190" t="n"/>
      <c r="E424" s="190" t="n"/>
      <c r="F424" s="190" t="n"/>
      <c r="G424" s="189" t="n"/>
      <c r="H424" s="189" t="n"/>
      <c r="I424" s="189" t="n"/>
      <c r="J424" s="190" t="n"/>
      <c r="K424" s="190" t="n"/>
      <c r="L424" s="189" t="n"/>
      <c r="M424" s="189" t="n"/>
      <c r="N424" s="190" t="n"/>
      <c r="O424" s="190" t="n"/>
      <c r="P424" s="190" t="n"/>
      <c r="Q424" s="191" t="n"/>
      <c r="R424" s="191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n"/>
      <c r="C425" s="190" t="n"/>
      <c r="D425" s="190" t="n"/>
      <c r="E425" s="190" t="n"/>
      <c r="F425" s="190" t="n"/>
      <c r="G425" s="189" t="n"/>
      <c r="H425" s="189" t="n"/>
      <c r="I425" s="189" t="n"/>
      <c r="J425" s="190" t="n"/>
      <c r="K425" s="190" t="n"/>
      <c r="L425" s="189" t="n"/>
      <c r="M425" s="189" t="n"/>
      <c r="N425" s="190" t="n"/>
      <c r="O425" s="190" t="n"/>
      <c r="P425" s="190" t="n"/>
      <c r="Q425" s="191" t="n"/>
      <c r="R425" s="191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n"/>
      <c r="C426" s="190" t="n"/>
      <c r="D426" s="190" t="n"/>
      <c r="E426" s="190" t="n"/>
      <c r="F426" s="190" t="n"/>
      <c r="G426" s="189" t="n"/>
      <c r="H426" s="189" t="n"/>
      <c r="I426" s="189" t="n"/>
      <c r="J426" s="190" t="n"/>
      <c r="K426" s="190" t="n"/>
      <c r="L426" s="189" t="n"/>
      <c r="M426" s="189" t="n"/>
      <c r="N426" s="190" t="n"/>
      <c r="O426" s="190" t="n"/>
      <c r="P426" s="190" t="n"/>
      <c r="Q426" s="191" t="n"/>
      <c r="R426" s="191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n"/>
      <c r="C427" s="190" t="n"/>
      <c r="D427" s="190" t="n"/>
      <c r="E427" s="190" t="n"/>
      <c r="F427" s="190" t="n"/>
      <c r="G427" s="189" t="n"/>
      <c r="H427" s="189" t="n"/>
      <c r="I427" s="189" t="n"/>
      <c r="J427" s="190" t="n"/>
      <c r="K427" s="190" t="n"/>
      <c r="L427" s="189" t="n"/>
      <c r="M427" s="189" t="n"/>
      <c r="N427" s="190" t="n"/>
      <c r="O427" s="190" t="n"/>
      <c r="P427" s="190" t="n"/>
      <c r="Q427" s="191" t="n"/>
      <c r="R427" s="191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n"/>
      <c r="C428" s="190" t="n"/>
      <c r="D428" s="190" t="n"/>
      <c r="E428" s="190" t="n"/>
      <c r="F428" s="190" t="n"/>
      <c r="G428" s="189" t="n"/>
      <c r="H428" s="189" t="n"/>
      <c r="I428" s="189" t="n"/>
      <c r="J428" s="190" t="n"/>
      <c r="K428" s="190" t="n"/>
      <c r="L428" s="189" t="n"/>
      <c r="M428" s="189" t="n"/>
      <c r="N428" s="190" t="n"/>
      <c r="O428" s="190" t="n"/>
      <c r="P428" s="190" t="n"/>
      <c r="Q428" s="191" t="n"/>
      <c r="R428" s="191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n"/>
      <c r="C429" s="190" t="n"/>
      <c r="D429" s="190" t="n"/>
      <c r="E429" s="190" t="n"/>
      <c r="F429" s="190" t="n"/>
      <c r="G429" s="189" t="n"/>
      <c r="H429" s="189" t="n"/>
      <c r="I429" s="189" t="n"/>
      <c r="J429" s="190" t="n"/>
      <c r="K429" s="190" t="n"/>
      <c r="L429" s="189" t="n"/>
      <c r="M429" s="189" t="n"/>
      <c r="N429" s="190" t="n"/>
      <c r="O429" s="190" t="n"/>
      <c r="P429" s="190" t="n"/>
      <c r="Q429" s="191" t="n"/>
      <c r="R429" s="191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n"/>
      <c r="C430" s="190" t="n"/>
      <c r="D430" s="190" t="n"/>
      <c r="E430" s="190" t="n"/>
      <c r="F430" s="190" t="n"/>
      <c r="G430" s="189" t="n"/>
      <c r="H430" s="189" t="n"/>
      <c r="I430" s="189" t="n"/>
      <c r="J430" s="190" t="n"/>
      <c r="K430" s="190" t="n"/>
      <c r="L430" s="189" t="n"/>
      <c r="M430" s="189" t="n"/>
      <c r="N430" s="190" t="n"/>
      <c r="O430" s="190" t="n"/>
      <c r="P430" s="190" t="n"/>
      <c r="Q430" s="191" t="n"/>
      <c r="R430" s="191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n"/>
      <c r="C431" s="190" t="n"/>
      <c r="D431" s="190" t="n"/>
      <c r="E431" s="190" t="n"/>
      <c r="F431" s="190" t="n"/>
      <c r="G431" s="189" t="n"/>
      <c r="H431" s="189" t="n"/>
      <c r="I431" s="189" t="n"/>
      <c r="J431" s="190" t="n"/>
      <c r="K431" s="190" t="n"/>
      <c r="L431" s="189" t="n"/>
      <c r="M431" s="189" t="n"/>
      <c r="N431" s="190" t="n"/>
      <c r="O431" s="190" t="n"/>
      <c r="P431" s="190" t="n"/>
      <c r="Q431" s="191" t="n"/>
      <c r="R431" s="191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n"/>
      <c r="C432" s="190" t="n"/>
      <c r="D432" s="190" t="n"/>
      <c r="E432" s="190" t="n"/>
      <c r="F432" s="190" t="n"/>
      <c r="G432" s="189" t="n"/>
      <c r="H432" s="189" t="n"/>
      <c r="I432" s="189" t="n"/>
      <c r="J432" s="190" t="n"/>
      <c r="K432" s="190" t="n"/>
      <c r="L432" s="189" t="n"/>
      <c r="M432" s="189" t="n"/>
      <c r="N432" s="190" t="n"/>
      <c r="O432" s="190" t="n"/>
      <c r="P432" s="190" t="n"/>
      <c r="Q432" s="191" t="n"/>
      <c r="R432" s="191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n"/>
      <c r="C433" s="190" t="n"/>
      <c r="D433" s="190" t="n"/>
      <c r="E433" s="190" t="n"/>
      <c r="F433" s="190" t="n"/>
      <c r="G433" s="189" t="n"/>
      <c r="H433" s="189" t="n"/>
      <c r="I433" s="189" t="n"/>
      <c r="J433" s="190" t="n"/>
      <c r="K433" s="190" t="n"/>
      <c r="L433" s="189" t="n"/>
      <c r="M433" s="189" t="n"/>
      <c r="N433" s="190" t="n"/>
      <c r="O433" s="190" t="n"/>
      <c r="P433" s="190" t="n"/>
      <c r="Q433" s="191" t="n"/>
      <c r="R433" s="191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n"/>
      <c r="C434" s="190" t="n"/>
      <c r="D434" s="190" t="n"/>
      <c r="E434" s="190" t="n"/>
      <c r="F434" s="190" t="n"/>
      <c r="G434" s="189" t="n"/>
      <c r="H434" s="189" t="n"/>
      <c r="I434" s="189" t="n"/>
      <c r="J434" s="190" t="n"/>
      <c r="K434" s="190" t="n"/>
      <c r="L434" s="189" t="n"/>
      <c r="M434" s="189" t="n"/>
      <c r="N434" s="190" t="n"/>
      <c r="O434" s="190" t="n"/>
      <c r="P434" s="190" t="n"/>
      <c r="Q434" s="191" t="n"/>
      <c r="R434" s="191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n"/>
      <c r="C435" s="190" t="n"/>
      <c r="D435" s="190" t="n"/>
      <c r="E435" s="190" t="n"/>
      <c r="F435" s="190" t="n"/>
      <c r="G435" s="189" t="n"/>
      <c r="H435" s="189" t="n"/>
      <c r="I435" s="189" t="n"/>
      <c r="J435" s="190" t="n"/>
      <c r="K435" s="190" t="n"/>
      <c r="L435" s="189" t="n"/>
      <c r="M435" s="189" t="n"/>
      <c r="N435" s="190" t="n"/>
      <c r="O435" s="190" t="n"/>
      <c r="P435" s="190" t="n"/>
      <c r="Q435" s="191" t="n"/>
      <c r="R435" s="191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n"/>
      <c r="C436" s="190" t="n"/>
      <c r="D436" s="190" t="n"/>
      <c r="E436" s="190" t="n"/>
      <c r="F436" s="190" t="n"/>
      <c r="G436" s="189" t="n"/>
      <c r="H436" s="189" t="n"/>
      <c r="I436" s="189" t="n"/>
      <c r="J436" s="190" t="n"/>
      <c r="K436" s="190" t="n"/>
      <c r="L436" s="189" t="n"/>
      <c r="M436" s="189" t="n"/>
      <c r="N436" s="190" t="n"/>
      <c r="O436" s="190" t="n"/>
      <c r="P436" s="190" t="n"/>
      <c r="Q436" s="191" t="n"/>
      <c r="R436" s="191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n"/>
      <c r="C437" s="190" t="n"/>
      <c r="D437" s="190" t="n"/>
      <c r="E437" s="190" t="n"/>
      <c r="F437" s="190" t="n"/>
      <c r="G437" s="189" t="n"/>
      <c r="H437" s="189" t="n"/>
      <c r="I437" s="189" t="n"/>
      <c r="J437" s="190" t="n"/>
      <c r="K437" s="190" t="n"/>
      <c r="L437" s="189" t="n"/>
      <c r="M437" s="189" t="n"/>
      <c r="N437" s="190" t="n"/>
      <c r="O437" s="190" t="n"/>
      <c r="P437" s="190" t="n"/>
      <c r="Q437" s="191" t="n"/>
      <c r="R437" s="191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n"/>
      <c r="C438" s="190" t="n"/>
      <c r="D438" s="190" t="n"/>
      <c r="E438" s="190" t="n"/>
      <c r="F438" s="190" t="n"/>
      <c r="G438" s="189" t="n"/>
      <c r="H438" s="189" t="n"/>
      <c r="I438" s="189" t="n"/>
      <c r="J438" s="190" t="n"/>
      <c r="K438" s="190" t="n"/>
      <c r="L438" s="189" t="n"/>
      <c r="M438" s="189" t="n"/>
      <c r="N438" s="190" t="n"/>
      <c r="O438" s="190" t="n"/>
      <c r="P438" s="190" t="n"/>
      <c r="Q438" s="191" t="n"/>
      <c r="R438" s="191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n"/>
      <c r="C439" s="190" t="n"/>
      <c r="D439" s="190" t="n"/>
      <c r="E439" s="190" t="n"/>
      <c r="F439" s="190" t="n"/>
      <c r="G439" s="189" t="n"/>
      <c r="H439" s="189" t="n"/>
      <c r="I439" s="189" t="n"/>
      <c r="J439" s="190" t="n"/>
      <c r="K439" s="190" t="n"/>
      <c r="L439" s="189" t="n"/>
      <c r="M439" s="189" t="n"/>
      <c r="N439" s="190" t="n"/>
      <c r="O439" s="190" t="n"/>
      <c r="P439" s="190" t="n"/>
      <c r="Q439" s="191" t="n"/>
      <c r="R439" s="191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n"/>
      <c r="C440" s="190" t="n"/>
      <c r="D440" s="190" t="n"/>
      <c r="E440" s="190" t="n"/>
      <c r="F440" s="190" t="n"/>
      <c r="G440" s="189" t="n"/>
      <c r="H440" s="189" t="n"/>
      <c r="I440" s="189" t="n"/>
      <c r="J440" s="190" t="n"/>
      <c r="K440" s="190" t="n"/>
      <c r="L440" s="189" t="n"/>
      <c r="M440" s="189" t="n"/>
      <c r="N440" s="190" t="n"/>
      <c r="O440" s="190" t="n"/>
      <c r="P440" s="190" t="n"/>
      <c r="Q440" s="191" t="n"/>
      <c r="R440" s="191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n"/>
      <c r="C441" s="190" t="n"/>
      <c r="D441" s="190" t="n"/>
      <c r="E441" s="190" t="n"/>
      <c r="F441" s="190" t="n"/>
      <c r="G441" s="189" t="n"/>
      <c r="H441" s="189" t="n"/>
      <c r="I441" s="189" t="n"/>
      <c r="J441" s="190" t="n"/>
      <c r="K441" s="190" t="n"/>
      <c r="L441" s="189" t="n"/>
      <c r="M441" s="189" t="n"/>
      <c r="N441" s="190" t="n"/>
      <c r="O441" s="190" t="n"/>
      <c r="P441" s="190" t="n"/>
      <c r="Q441" s="191" t="n"/>
      <c r="R441" s="191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n"/>
      <c r="C442" s="190" t="n"/>
      <c r="D442" s="190" t="n"/>
      <c r="E442" s="190" t="n"/>
      <c r="F442" s="190" t="n"/>
      <c r="G442" s="189" t="n"/>
      <c r="H442" s="189" t="n"/>
      <c r="I442" s="189" t="n"/>
      <c r="J442" s="190" t="n"/>
      <c r="K442" s="190" t="n"/>
      <c r="L442" s="189" t="n"/>
      <c r="M442" s="189" t="n"/>
      <c r="N442" s="190" t="n"/>
      <c r="O442" s="190" t="n"/>
      <c r="P442" s="190" t="n"/>
      <c r="Q442" s="191" t="n"/>
      <c r="R442" s="191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n"/>
      <c r="C443" s="190" t="n"/>
      <c r="D443" s="190" t="n"/>
      <c r="E443" s="190" t="n"/>
      <c r="F443" s="190" t="n"/>
      <c r="G443" s="189" t="n"/>
      <c r="H443" s="189" t="n"/>
      <c r="I443" s="189" t="n"/>
      <c r="J443" s="190" t="n"/>
      <c r="K443" s="190" t="n"/>
      <c r="L443" s="189" t="n"/>
      <c r="M443" s="189" t="n"/>
      <c r="N443" s="190" t="n"/>
      <c r="O443" s="190" t="n"/>
      <c r="P443" s="190" t="n"/>
      <c r="Q443" s="191" t="n"/>
      <c r="R443" s="191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n"/>
      <c r="C444" s="190" t="n"/>
      <c r="D444" s="190" t="n"/>
      <c r="E444" s="190" t="n"/>
      <c r="F444" s="190" t="n"/>
      <c r="G444" s="189" t="n"/>
      <c r="H444" s="189" t="n"/>
      <c r="I444" s="189" t="n"/>
      <c r="J444" s="190" t="n"/>
      <c r="K444" s="190" t="n"/>
      <c r="L444" s="189" t="n"/>
      <c r="M444" s="189" t="n"/>
      <c r="N444" s="190" t="n"/>
      <c r="O444" s="190" t="n"/>
      <c r="P444" s="190" t="n"/>
      <c r="Q444" s="191" t="n"/>
      <c r="R444" s="191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n"/>
      <c r="C445" s="190" t="n"/>
      <c r="D445" s="190" t="n"/>
      <c r="E445" s="190" t="n"/>
      <c r="F445" s="190" t="n"/>
      <c r="G445" s="189" t="n"/>
      <c r="H445" s="189" t="n"/>
      <c r="I445" s="189" t="n"/>
      <c r="J445" s="190" t="n"/>
      <c r="K445" s="190" t="n"/>
      <c r="L445" s="189" t="n"/>
      <c r="M445" s="189" t="n"/>
      <c r="N445" s="190" t="n"/>
      <c r="O445" s="190" t="n"/>
      <c r="P445" s="190" t="n"/>
      <c r="Q445" s="191" t="n"/>
      <c r="R445" s="191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n"/>
      <c r="C446" s="190" t="n"/>
      <c r="D446" s="190" t="n"/>
      <c r="E446" s="190" t="n"/>
      <c r="F446" s="190" t="n"/>
      <c r="G446" s="189" t="n"/>
      <c r="H446" s="189" t="n"/>
      <c r="I446" s="189" t="n"/>
      <c r="J446" s="190" t="n"/>
      <c r="K446" s="190" t="n"/>
      <c r="L446" s="189" t="n"/>
      <c r="M446" s="189" t="n"/>
      <c r="N446" s="190" t="n"/>
      <c r="O446" s="190" t="n"/>
      <c r="P446" s="190" t="n"/>
      <c r="Q446" s="191" t="n"/>
      <c r="R446" s="191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</sheetData>
  <autoFilter ref="$B$13:$C$14"/>
  <mergeCells count="38">
    <mergeCell ref="B28:Q28"/>
    <mergeCell ref="D10:E10"/>
    <mergeCell ref="F10:G10"/>
    <mergeCell ref="H10:I10"/>
    <mergeCell ref="J14:K14"/>
    <mergeCell ref="G29:J29"/>
    <mergeCell ref="J13:K13"/>
    <mergeCell ref="H9:I9"/>
    <mergeCell ref="B12:C12"/>
    <mergeCell ref="A3:R3"/>
    <mergeCell ref="F12:G12"/>
    <mergeCell ref="K29:R29"/>
    <mergeCell ref="A2:R2"/>
    <mergeCell ref="D13:E13"/>
    <mergeCell ref="B14:C14"/>
    <mergeCell ref="H14:I14"/>
    <mergeCell ref="B62:Q62"/>
    <mergeCell ref="B8:C8"/>
    <mergeCell ref="A4:R4"/>
    <mergeCell ref="F8:G8"/>
    <mergeCell ref="B13:C13"/>
    <mergeCell ref="B29:F29"/>
    <mergeCell ref="B10:C10"/>
    <mergeCell ref="F13:G13"/>
    <mergeCell ref="B9:C9"/>
    <mergeCell ref="D9:E9"/>
    <mergeCell ref="H13:I13"/>
    <mergeCell ref="F9:G9"/>
    <mergeCell ref="D12:E12"/>
    <mergeCell ref="D8:E8"/>
    <mergeCell ref="B6:C6"/>
    <mergeCell ref="H12:I12"/>
    <mergeCell ref="H8:I8"/>
    <mergeCell ref="J12:K12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2" t="inlineStr">
        <is>
          <t>December 2025</t>
        </is>
      </c>
      <c r="B2" s="192" t="inlineStr">
        <is>
          <t>Team Refresher</t>
        </is>
      </c>
      <c r="C2" s="192" t="inlineStr">
        <is>
          <t>ACOP (Online Team)</t>
        </is>
      </c>
      <c r="D2" s="192" t="inlineStr">
        <is>
          <t>10-Dec</t>
        </is>
      </c>
      <c r="E2" s="192" t="inlineStr">
        <is>
          <t>23-Dec</t>
        </is>
      </c>
      <c r="F2" s="192" t="inlineStr">
        <is>
          <t>Raju Vernekar</t>
        </is>
      </c>
      <c r="G2" s="192" t="inlineStr">
        <is>
          <t>Online</t>
        </is>
      </c>
      <c r="H2" s="192" t="inlineStr">
        <is>
          <t>Kite mobile/web &amp; order types</t>
        </is>
      </c>
      <c r="I2" s="193" t="n">
        <v>16</v>
      </c>
    </row>
    <row r="3" ht="15" customHeight="1" s="156">
      <c r="A3" s="192" t="inlineStr">
        <is>
          <t>December 2025</t>
        </is>
      </c>
      <c r="B3" s="192" t="inlineStr">
        <is>
          <t>ACOP Team Refresher</t>
        </is>
      </c>
      <c r="C3" s="192" t="inlineStr">
        <is>
          <t>ACOP (Online Team)</t>
        </is>
      </c>
      <c r="D3" s="192" t="inlineStr">
        <is>
          <t>10-Dec</t>
        </is>
      </c>
      <c r="E3" s="192" t="inlineStr">
        <is>
          <t>19-Dec</t>
        </is>
      </c>
      <c r="F3" s="192" t="inlineStr">
        <is>
          <t>Gaurav Kumar</t>
        </is>
      </c>
      <c r="G3" s="192" t="inlineStr">
        <is>
          <t>Online</t>
        </is>
      </c>
      <c r="H3" s="192" t="inlineStr">
        <is>
          <t>Kite mobile/web &amp; order types</t>
        </is>
      </c>
      <c r="I3" s="193" t="n">
        <v>16</v>
      </c>
    </row>
    <row r="4" ht="15" customHeight="1" s="156">
      <c r="A4" s="194" t="inlineStr">
        <is>
          <t>December 2025</t>
        </is>
      </c>
      <c r="B4" s="194" t="inlineStr">
        <is>
          <t>Project Maven</t>
        </is>
      </c>
      <c r="C4" s="194" t="inlineStr">
        <is>
          <t>MCP (Project Maven)</t>
        </is>
      </c>
      <c r="D4" s="194" t="inlineStr">
        <is>
          <t>8-Dec</t>
        </is>
      </c>
      <c r="E4" s="194" t="inlineStr">
        <is>
          <t>On going</t>
        </is>
      </c>
      <c r="F4" s="194" t="inlineStr">
        <is>
          <t>Raju Vernekar</t>
        </is>
      </c>
      <c r="G4" s="194" t="inlineStr">
        <is>
          <t>Offline</t>
        </is>
      </c>
      <c r="H4" s="194" t="inlineStr">
        <is>
          <t>Project Maven for Support (MCP)</t>
        </is>
      </c>
      <c r="I4" s="195" t="n">
        <v>52</v>
      </c>
    </row>
    <row r="5" ht="15" customHeight="1" s="156">
      <c r="A5" s="194" t="inlineStr">
        <is>
          <t>December 2025</t>
        </is>
      </c>
      <c r="B5" s="194" t="inlineStr">
        <is>
          <t>Project Maven</t>
        </is>
      </c>
      <c r="C5" s="194" t="inlineStr">
        <is>
          <t>MCP (Project Maven)</t>
        </is>
      </c>
      <c r="D5" s="194" t="inlineStr">
        <is>
          <t>8-Dec</t>
        </is>
      </c>
      <c r="E5" s="194" t="inlineStr">
        <is>
          <t>On going</t>
        </is>
      </c>
      <c r="F5" s="194" t="inlineStr">
        <is>
          <t>Gaurav Kumar</t>
        </is>
      </c>
      <c r="G5" s="194" t="inlineStr">
        <is>
          <t>Offline</t>
        </is>
      </c>
      <c r="H5" s="194" t="inlineStr">
        <is>
          <t>Project Maven for Support (MCP)</t>
        </is>
      </c>
      <c r="I5" s="195" t="n">
        <v>45</v>
      </c>
    </row>
    <row r="6" ht="15" customHeight="1" s="156">
      <c r="A6" s="192" t="inlineStr">
        <is>
          <t>December 2025</t>
        </is>
      </c>
      <c r="B6" s="192" t="inlineStr">
        <is>
          <t>Webinar</t>
        </is>
      </c>
      <c r="C6" s="192" t="inlineStr">
        <is>
          <t>Support Team</t>
        </is>
      </c>
      <c r="D6" s="192" t="inlineStr">
        <is>
          <t>19-Dec</t>
        </is>
      </c>
      <c r="E6" s="192" t="inlineStr">
        <is>
          <t>19-Dec</t>
        </is>
      </c>
      <c r="F6" s="192" t="inlineStr">
        <is>
          <t>Gaurav Kumar / Raju Vernekar</t>
        </is>
      </c>
      <c r="G6" s="192" t="inlineStr">
        <is>
          <t>Online</t>
        </is>
      </c>
      <c r="H6" s="192" t="inlineStr">
        <is>
          <t>Delta Violation</t>
        </is>
      </c>
      <c r="I6" s="193" t="n">
        <v>3</v>
      </c>
    </row>
    <row r="7" ht="15" customHeight="1" s="156">
      <c r="A7" s="192" t="inlineStr">
        <is>
          <t>December 2025</t>
        </is>
      </c>
      <c r="B7" s="192" t="inlineStr">
        <is>
          <t>Session</t>
        </is>
      </c>
      <c r="C7" s="192" t="inlineStr">
        <is>
          <t>Support Manager &amp; AVPs</t>
        </is>
      </c>
      <c r="D7" s="192" t="inlineStr">
        <is>
          <t>11-Dec</t>
        </is>
      </c>
      <c r="E7" s="192" t="inlineStr">
        <is>
          <t>11-Dec</t>
        </is>
      </c>
      <c r="F7" s="192" t="inlineStr">
        <is>
          <t>Gaurav Kumar</t>
        </is>
      </c>
      <c r="G7" s="192" t="inlineStr">
        <is>
          <t>Online</t>
        </is>
      </c>
      <c r="H7" s="192" t="inlineStr">
        <is>
          <t>Delta Violation</t>
        </is>
      </c>
      <c r="I7" s="193" t="n">
        <v>3</v>
      </c>
    </row>
    <row r="8" ht="15" customHeight="1" s="156">
      <c r="A8" s="192" t="inlineStr">
        <is>
          <t>January 2026</t>
        </is>
      </c>
      <c r="B8" s="192" t="inlineStr">
        <is>
          <t>Refresher</t>
        </is>
      </c>
      <c r="C8" s="192" t="inlineStr">
        <is>
          <t>Sherin's Team</t>
        </is>
      </c>
      <c r="D8" s="192" t="inlineStr">
        <is>
          <t>13-Jan</t>
        </is>
      </c>
      <c r="E8" s="192" t="inlineStr">
        <is>
          <t>13-Jan</t>
        </is>
      </c>
      <c r="F8" s="192" t="inlineStr">
        <is>
          <t>Raju Vernekar</t>
        </is>
      </c>
      <c r="G8" s="192" t="inlineStr">
        <is>
          <t>Online</t>
        </is>
      </c>
      <c r="H8" s="192" t="inlineStr">
        <is>
          <t>Basics of support</t>
        </is>
      </c>
      <c r="I8" s="193" t="n">
        <v>4</v>
      </c>
    </row>
    <row r="9" ht="15" customHeight="1" s="156">
      <c r="A9" s="194" t="inlineStr">
        <is>
          <t>January 2026</t>
        </is>
      </c>
      <c r="B9" s="194" t="inlineStr">
        <is>
          <t>Project Maven</t>
        </is>
      </c>
      <c r="C9" s="194" t="inlineStr">
        <is>
          <t>MCP (Project Maven)</t>
        </is>
      </c>
      <c r="D9" s="194" t="inlineStr">
        <is>
          <t>1-Jan</t>
        </is>
      </c>
      <c r="E9" s="194" t="inlineStr">
        <is>
          <t>On going</t>
        </is>
      </c>
      <c r="F9" s="194" t="inlineStr">
        <is>
          <t>Raju Vernekar</t>
        </is>
      </c>
      <c r="G9" s="194" t="inlineStr">
        <is>
          <t>Offline</t>
        </is>
      </c>
      <c r="H9" s="194" t="inlineStr">
        <is>
          <t>Project Maven</t>
        </is>
      </c>
      <c r="I9" s="195" t="n">
        <v>156</v>
      </c>
    </row>
    <row r="10" ht="15" customHeight="1" s="156">
      <c r="A10" s="192" t="inlineStr">
        <is>
          <t>January 2026</t>
        </is>
      </c>
      <c r="B10" s="192" t="inlineStr">
        <is>
          <t>Assessments</t>
        </is>
      </c>
      <c r="C10" s="192" t="inlineStr">
        <is>
          <t>Communication Assessment Tool</t>
        </is>
      </c>
      <c r="D10" s="192" t="inlineStr">
        <is>
          <t>22-Jan</t>
        </is>
      </c>
      <c r="E10" s="192" t="inlineStr">
        <is>
          <t>22-Jan</t>
        </is>
      </c>
      <c r="F10" s="192" t="inlineStr">
        <is>
          <t>Raju Vernekar</t>
        </is>
      </c>
      <c r="G10" s="192" t="inlineStr">
        <is>
          <t>Online</t>
        </is>
      </c>
      <c r="H10" s="192" t="inlineStr">
        <is>
          <t>Communication Assessment</t>
        </is>
      </c>
      <c r="I10" s="193" t="n">
        <v>1</v>
      </c>
    </row>
    <row r="11" ht="15" customHeight="1" s="156">
      <c r="A11" s="192" t="inlineStr">
        <is>
          <t>January 2026</t>
        </is>
      </c>
      <c r="B11" s="192" t="inlineStr">
        <is>
          <t>Refresher</t>
        </is>
      </c>
      <c r="C11" s="192" t="inlineStr">
        <is>
          <t>Sherin's Team</t>
        </is>
      </c>
      <c r="D11" s="192" t="inlineStr">
        <is>
          <t>12-Jan</t>
        </is>
      </c>
      <c r="E11" s="192" t="inlineStr">
        <is>
          <t>20-Jan</t>
        </is>
      </c>
      <c r="F11" s="192" t="inlineStr">
        <is>
          <t>Gaurav Kumar</t>
        </is>
      </c>
      <c r="G11" s="192" t="inlineStr">
        <is>
          <t>Online</t>
        </is>
      </c>
      <c r="H11" s="192" t="inlineStr">
        <is>
          <t>MTF, Hedge, Basket, Corp actions, MF</t>
        </is>
      </c>
      <c r="I11" s="193" t="n">
        <v>15</v>
      </c>
    </row>
    <row r="12" ht="15" customHeight="1" s="156">
      <c r="A12" s="194" t="inlineStr">
        <is>
          <t>January 2026</t>
        </is>
      </c>
      <c r="B12" s="194" t="inlineStr">
        <is>
          <t>Project Maven</t>
        </is>
      </c>
      <c r="C12" s="194" t="inlineStr">
        <is>
          <t>MCP (Project Maven)</t>
        </is>
      </c>
      <c r="D12" s="194" t="inlineStr">
        <is>
          <t>1-Jan</t>
        </is>
      </c>
      <c r="E12" s="194" t="inlineStr">
        <is>
          <t>On going</t>
        </is>
      </c>
      <c r="F12" s="194" t="inlineStr">
        <is>
          <t>Gaurav Kumar</t>
        </is>
      </c>
      <c r="G12" s="194" t="inlineStr">
        <is>
          <t>Offline</t>
        </is>
      </c>
      <c r="H12" s="194" t="inlineStr">
        <is>
          <t>Project Maven</t>
        </is>
      </c>
      <c r="I12" s="195" t="n">
        <v>140</v>
      </c>
    </row>
    <row r="13" ht="15" customHeight="1" s="156">
      <c r="A13" s="192" t="inlineStr">
        <is>
          <t>January 2026</t>
        </is>
      </c>
      <c r="B13" s="192" t="inlineStr">
        <is>
          <t>Refresher for Entire Support</t>
        </is>
      </c>
      <c r="C13" s="192" t="inlineStr">
        <is>
          <t>Support Team</t>
        </is>
      </c>
      <c r="D13" s="192" t="inlineStr">
        <is>
          <t>28-Jan</t>
        </is>
      </c>
      <c r="E13" s="192" t="inlineStr">
        <is>
          <t>On going</t>
        </is>
      </c>
      <c r="F13" s="192" t="inlineStr">
        <is>
          <t>Gaurav Kumar</t>
        </is>
      </c>
      <c r="G13" s="192" t="inlineStr">
        <is>
          <t>Online</t>
        </is>
      </c>
      <c r="H13" s="192" t="inlineStr">
        <is>
          <t>Tijori Integration with Kite &amp; Console</t>
        </is>
      </c>
      <c r="I13" s="193" t="n">
        <v>65</v>
      </c>
    </row>
    <row r="14" ht="15" customHeight="1" s="156">
      <c r="A14" s="192" t="inlineStr">
        <is>
          <t>January 2026</t>
        </is>
      </c>
      <c r="B14" s="192" t="inlineStr">
        <is>
          <t>Refresher for Evening Support</t>
        </is>
      </c>
      <c r="C14" s="192" t="inlineStr">
        <is>
          <t>MCX Team</t>
        </is>
      </c>
      <c r="D14" s="192" t="inlineStr">
        <is>
          <t>29-Jan</t>
        </is>
      </c>
      <c r="E14" s="192" t="inlineStr">
        <is>
          <t>On going</t>
        </is>
      </c>
      <c r="F14" s="192" t="inlineStr">
        <is>
          <t>Gaurav Kumar</t>
        </is>
      </c>
      <c r="G14" s="192" t="inlineStr">
        <is>
          <t>Online</t>
        </is>
      </c>
      <c r="H14" s="192" t="inlineStr">
        <is>
          <t>Tijori and MCX Devolvement</t>
        </is>
      </c>
      <c r="I14" s="193" t="n">
        <v>11</v>
      </c>
    </row>
    <row r="15" ht="15" customHeight="1" s="156">
      <c r="A15" s="192" t="inlineStr">
        <is>
          <t>January 2026</t>
        </is>
      </c>
      <c r="B15" s="192" t="inlineStr">
        <is>
          <t>Content Team Session</t>
        </is>
      </c>
      <c r="C15" s="192" t="inlineStr">
        <is>
          <t>Stock tips</t>
        </is>
      </c>
      <c r="D15" s="192" t="inlineStr">
        <is>
          <t>28-Jan</t>
        </is>
      </c>
      <c r="E15" s="192" t="inlineStr">
        <is>
          <t>28-Jan</t>
        </is>
      </c>
      <c r="F15" s="192" t="inlineStr">
        <is>
          <t>Gaurav Kumar</t>
        </is>
      </c>
      <c r="G15" s="192" t="inlineStr">
        <is>
          <t>Online</t>
        </is>
      </c>
      <c r="H15" s="192" t="inlineStr">
        <is>
          <t>Session for Stock tips</t>
        </is>
      </c>
      <c r="I15" s="193" t="n">
        <v>1.5</v>
      </c>
    </row>
    <row r="16" ht="15" customHeight="1" s="156">
      <c r="A16" s="192" t="inlineStr">
        <is>
          <t>January 2026</t>
        </is>
      </c>
      <c r="B16" s="192" t="inlineStr">
        <is>
          <t>Support Team OJT</t>
        </is>
      </c>
      <c r="C16" s="192" t="inlineStr">
        <is>
          <t>OJT for SM (Support)</t>
        </is>
      </c>
      <c r="D16" s="192" t="inlineStr">
        <is>
          <t>27-Dec</t>
        </is>
      </c>
      <c r="E16" s="192" t="inlineStr">
        <is>
          <t>31-Jan</t>
        </is>
      </c>
      <c r="F16" s="192" t="inlineStr">
        <is>
          <t>Gaurav Kumar / Raju Vernekar</t>
        </is>
      </c>
      <c r="G16" s="192" t="inlineStr">
        <is>
          <t>Online</t>
        </is>
      </c>
      <c r="H16" s="192" t="inlineStr">
        <is>
          <t>Support On Job Training</t>
        </is>
      </c>
      <c r="I16" s="193" t="n">
        <v>50</v>
      </c>
    </row>
    <row r="17" ht="15" customHeight="1" s="156">
      <c r="A17" s="192" t="inlineStr">
        <is>
          <t>January 2026</t>
        </is>
      </c>
      <c r="B17" s="192" t="inlineStr">
        <is>
          <t>Assessment</t>
        </is>
      </c>
      <c r="C17" s="192" t="inlineStr">
        <is>
          <t>Sherin's Team</t>
        </is>
      </c>
      <c r="D17" s="192" t="inlineStr">
        <is>
          <t>23-Jan</t>
        </is>
      </c>
      <c r="E17" s="192" t="inlineStr">
        <is>
          <t>23-Jan</t>
        </is>
      </c>
      <c r="F17" s="192" t="inlineStr">
        <is>
          <t>Gaurav Kumar</t>
        </is>
      </c>
      <c r="G17" s="192" t="inlineStr">
        <is>
          <t>Online</t>
        </is>
      </c>
      <c r="H17" s="192" t="inlineStr">
        <is>
          <t>MTF, Hedge, Basket, Corp actions, MF</t>
        </is>
      </c>
      <c r="I17" s="193" t="n">
        <v>1.5</v>
      </c>
    </row>
    <row r="18" ht="15" customHeight="1" s="156">
      <c r="A18" s="194" t="inlineStr">
        <is>
          <t>February 2026</t>
        </is>
      </c>
      <c r="B18" s="194" t="inlineStr">
        <is>
          <t>Project Maven</t>
        </is>
      </c>
      <c r="C18" s="194" t="inlineStr">
        <is>
          <t>Project Maven</t>
        </is>
      </c>
      <c r="D18" s="194" t="inlineStr">
        <is>
          <t>1-Feb</t>
        </is>
      </c>
      <c r="E18" s="194" t="inlineStr">
        <is>
          <t>On going</t>
        </is>
      </c>
      <c r="F18" s="194" t="inlineStr">
        <is>
          <t>Raju Vernekar</t>
        </is>
      </c>
      <c r="G18" s="194" t="inlineStr">
        <is>
          <t>Offline</t>
        </is>
      </c>
      <c r="H18" s="194" t="inlineStr">
        <is>
          <t>Project Maven</t>
        </is>
      </c>
      <c r="I18" s="195" t="n">
        <v>104</v>
      </c>
    </row>
    <row r="19" ht="15" customHeight="1" s="156">
      <c r="A19" s="194" t="inlineStr">
        <is>
          <t>February 2026</t>
        </is>
      </c>
      <c r="B19" s="194" t="inlineStr">
        <is>
          <t>Project Maven</t>
        </is>
      </c>
      <c r="C19" s="194" t="inlineStr">
        <is>
          <t>Project Maven</t>
        </is>
      </c>
      <c r="D19" s="194" t="inlineStr">
        <is>
          <t>1-Feb</t>
        </is>
      </c>
      <c r="E19" s="194" t="inlineStr">
        <is>
          <t>On going</t>
        </is>
      </c>
      <c r="F19" s="194" t="inlineStr">
        <is>
          <t>Gaurav Kumar</t>
        </is>
      </c>
      <c r="G19" s="194" t="inlineStr">
        <is>
          <t>Offline</t>
        </is>
      </c>
      <c r="H19" s="194" t="inlineStr">
        <is>
          <t>Project Maven</t>
        </is>
      </c>
      <c r="I19" s="195" t="n">
        <v>102</v>
      </c>
    </row>
    <row r="20" ht="15" customHeight="1" s="156">
      <c r="A20" s="192" t="inlineStr">
        <is>
          <t>February 2026</t>
        </is>
      </c>
      <c r="B20" s="192" t="inlineStr">
        <is>
          <t>Refresher for Entire Support</t>
        </is>
      </c>
      <c r="C20" s="192" t="inlineStr">
        <is>
          <t>Customer Support</t>
        </is>
      </c>
      <c r="D20" s="192" t="inlineStr">
        <is>
          <t>27-Jan</t>
        </is>
      </c>
      <c r="E20" s="192" t="inlineStr">
        <is>
          <t>On going</t>
        </is>
      </c>
      <c r="F20" s="192" t="inlineStr">
        <is>
          <t>Gaurav Kumar</t>
        </is>
      </c>
      <c r="G20" s="192" t="inlineStr">
        <is>
          <t>Online</t>
        </is>
      </c>
      <c r="H20" s="192" t="inlineStr">
        <is>
          <t>Tijori, MCX Devolvement, SLB</t>
        </is>
      </c>
      <c r="I20" s="193" t="n">
        <v>36</v>
      </c>
    </row>
    <row r="21" ht="15.75" customHeight="1" s="156">
      <c r="A21" s="192" t="inlineStr">
        <is>
          <t>February 2026</t>
        </is>
      </c>
      <c r="B21" s="192" t="inlineStr">
        <is>
          <t>Refresher for Support</t>
        </is>
      </c>
      <c r="C21" s="192" t="inlineStr">
        <is>
          <t>Customer Support</t>
        </is>
      </c>
      <c r="D21" s="192" t="inlineStr">
        <is>
          <t>11-Feb</t>
        </is>
      </c>
      <c r="E21" s="192" t="inlineStr">
        <is>
          <t>Completed</t>
        </is>
      </c>
      <c r="F21" s="192" t="inlineStr">
        <is>
          <t>Raju Vernekar</t>
        </is>
      </c>
      <c r="G21" s="192" t="inlineStr">
        <is>
          <t>Online</t>
        </is>
      </c>
      <c r="H21" s="192" t="inlineStr">
        <is>
          <t>MCX Devolvement</t>
        </is>
      </c>
      <c r="I21" s="193" t="n">
        <v>8</v>
      </c>
    </row>
    <row r="22" ht="15.75" customHeight="1" s="156">
      <c r="A22" s="194" t="inlineStr">
        <is>
          <t>March 2026</t>
        </is>
      </c>
      <c r="B22" s="194" t="inlineStr">
        <is>
          <t>Assessment</t>
        </is>
      </c>
      <c r="C22" s="194" t="inlineStr">
        <is>
          <t>Assessment - Communicate 360</t>
        </is>
      </c>
      <c r="D22" s="194" t="inlineStr">
        <is>
          <t>1-Mar</t>
        </is>
      </c>
      <c r="E22" s="194" t="inlineStr">
        <is>
          <t>On going</t>
        </is>
      </c>
      <c r="F22" s="194" t="inlineStr">
        <is>
          <t>Freeda Reshma Dsouza</t>
        </is>
      </c>
      <c r="G22" s="194" t="inlineStr">
        <is>
          <t>Offline</t>
        </is>
      </c>
      <c r="H22" s="194" t="inlineStr">
        <is>
          <t>Assessment - Communicate 360</t>
        </is>
      </c>
      <c r="I22" s="195" t="n">
        <v>6</v>
      </c>
    </row>
    <row r="23" ht="15.75" customHeight="1" s="156">
      <c r="A23" s="194" t="inlineStr">
        <is>
          <t>March 2026</t>
        </is>
      </c>
      <c r="B23" s="194" t="inlineStr">
        <is>
          <t>Assessment</t>
        </is>
      </c>
      <c r="C23" s="194" t="inlineStr">
        <is>
          <t>Assessment tool - LMS</t>
        </is>
      </c>
      <c r="D23" s="194" t="inlineStr">
        <is>
          <t>1-Mar</t>
        </is>
      </c>
      <c r="E23" s="194" t="inlineStr">
        <is>
          <t>12-Mar</t>
        </is>
      </c>
      <c r="F23" s="194" t="inlineStr">
        <is>
          <t>Raju Vernekar / Girish A / Harish Bhat</t>
        </is>
      </c>
      <c r="G23" s="194" t="inlineStr">
        <is>
          <t>Offline</t>
        </is>
      </c>
      <c r="H23" s="194" t="inlineStr">
        <is>
          <t>Assessment tool - LMS</t>
        </is>
      </c>
      <c r="I23" s="195" t="n">
        <v>2</v>
      </c>
    </row>
    <row r="24" ht="15.75" customHeight="1" s="156">
      <c r="A24" s="194" t="inlineStr">
        <is>
          <t>March 2026</t>
        </is>
      </c>
      <c r="B24" s="194" t="inlineStr">
        <is>
          <t>Support Training</t>
        </is>
      </c>
      <c r="C24" s="194" t="inlineStr">
        <is>
          <t>Tool building - C360</t>
        </is>
      </c>
      <c r="D24" s="194" t="inlineStr">
        <is>
          <t>12-Mar</t>
        </is>
      </c>
      <c r="E24" s="194" t="inlineStr">
        <is>
          <t>12-Mar</t>
        </is>
      </c>
      <c r="F24" s="194" t="inlineStr">
        <is>
          <t>Raju Vernekar / Girish A / Harish Bhat</t>
        </is>
      </c>
      <c r="G24" s="194" t="inlineStr">
        <is>
          <t>Offline</t>
        </is>
      </c>
      <c r="H24" s="194" t="inlineStr">
        <is>
          <t>Tool building - C360</t>
        </is>
      </c>
      <c r="I24" s="195" t="n">
        <v>5</v>
      </c>
    </row>
    <row r="25" ht="15.75" customHeight="1" s="156">
      <c r="A25" s="194" t="inlineStr">
        <is>
          <t>March 2026</t>
        </is>
      </c>
      <c r="B25" s="194" t="inlineStr">
        <is>
          <t>Support Training</t>
        </is>
      </c>
      <c r="C25" s="194" t="inlineStr">
        <is>
          <t>Batch 1 - C360 Training</t>
        </is>
      </c>
      <c r="D25" s="194" t="inlineStr">
        <is>
          <t>12-Mar</t>
        </is>
      </c>
      <c r="E25" s="194" t="inlineStr">
        <is>
          <t>On going</t>
        </is>
      </c>
      <c r="F25" s="194" t="inlineStr">
        <is>
          <t>Freeda Reshma Dsouza</t>
        </is>
      </c>
      <c r="G25" s="194" t="inlineStr">
        <is>
          <t>Offline</t>
        </is>
      </c>
      <c r="H25" s="194" t="inlineStr">
        <is>
          <t>Batch 1 - C360 Training</t>
        </is>
      </c>
      <c r="I25" s="195" t="n">
        <v>8</v>
      </c>
    </row>
    <row r="26" ht="15.75" customHeight="1" s="156">
      <c r="A26" s="194" t="inlineStr">
        <is>
          <t>March 2026</t>
        </is>
      </c>
      <c r="B26" s="194" t="inlineStr">
        <is>
          <t>Assessment</t>
        </is>
      </c>
      <c r="C26" s="194" t="inlineStr">
        <is>
          <t>Correction of Assessment - C360</t>
        </is>
      </c>
      <c r="D26" s="194" t="inlineStr">
        <is>
          <t>12-Mar</t>
        </is>
      </c>
      <c r="E26" s="194" t="inlineStr">
        <is>
          <t>On going</t>
        </is>
      </c>
      <c r="F26" s="194" t="inlineStr">
        <is>
          <t>Freeda Reshma Dsouza</t>
        </is>
      </c>
      <c r="G26" s="194" t="inlineStr">
        <is>
          <t>Offline</t>
        </is>
      </c>
      <c r="H26" s="194" t="inlineStr">
        <is>
          <t>Correction of Assessment - C360</t>
        </is>
      </c>
      <c r="I26" s="195" t="n">
        <v>5</v>
      </c>
    </row>
    <row r="27" ht="15.75" customHeight="1" s="156">
      <c r="A27" s="194" t="inlineStr">
        <is>
          <t>March 2026</t>
        </is>
      </c>
      <c r="B27" s="194" t="inlineStr">
        <is>
          <t>Support Training</t>
        </is>
      </c>
      <c r="C27" s="194" t="inlineStr">
        <is>
          <t>Report Generation - C360</t>
        </is>
      </c>
      <c r="D27" s="194" t="inlineStr">
        <is>
          <t>12-Mar</t>
        </is>
      </c>
      <c r="E27" s="194" t="inlineStr">
        <is>
          <t>12-Mar</t>
        </is>
      </c>
      <c r="F27" s="194" t="inlineStr">
        <is>
          <t>Raju Vernekar / Girish A / Harish Bhat</t>
        </is>
      </c>
      <c r="G27" s="194" t="inlineStr">
        <is>
          <t>Offline</t>
        </is>
      </c>
      <c r="H27" s="194" t="inlineStr">
        <is>
          <t>Report Generation - C360</t>
        </is>
      </c>
      <c r="I27" s="195" t="n">
        <v>10</v>
      </c>
    </row>
    <row r="28" ht="15.75" customHeight="1" s="156">
      <c r="A28" s="194" t="inlineStr">
        <is>
          <t>March 2026</t>
        </is>
      </c>
      <c r="B28" s="194" t="inlineStr">
        <is>
          <t>Project Maven</t>
        </is>
      </c>
      <c r="C28" s="194" t="inlineStr">
        <is>
          <t>Project Maven</t>
        </is>
      </c>
      <c r="D28" s="194" t="inlineStr">
        <is>
          <t>1-Mar</t>
        </is>
      </c>
      <c r="E28" s="194" t="inlineStr">
        <is>
          <t>On going</t>
        </is>
      </c>
      <c r="F28" s="194" t="inlineStr">
        <is>
          <t>Raju Vernekar</t>
        </is>
      </c>
      <c r="G28" s="194" t="inlineStr">
        <is>
          <t>Offline</t>
        </is>
      </c>
      <c r="H28" s="194" t="inlineStr">
        <is>
          <t>Project Maven</t>
        </is>
      </c>
      <c r="I28" s="195" t="n">
        <v>104</v>
      </c>
    </row>
    <row r="29" ht="15.75" customHeight="1" s="156">
      <c r="A29" s="194" t="inlineStr">
        <is>
          <t>March 2026</t>
        </is>
      </c>
      <c r="B29" s="194" t="inlineStr">
        <is>
          <t>Project Maven</t>
        </is>
      </c>
      <c r="C29" s="194" t="inlineStr">
        <is>
          <t>Project Maven</t>
        </is>
      </c>
      <c r="D29" s="194" t="inlineStr">
        <is>
          <t>1-Mar</t>
        </is>
      </c>
      <c r="E29" s="194" t="inlineStr">
        <is>
          <t>On going</t>
        </is>
      </c>
      <c r="F29" s="194" t="inlineStr">
        <is>
          <t>Gaurav Kumar</t>
        </is>
      </c>
      <c r="G29" s="194" t="inlineStr">
        <is>
          <t>Offline</t>
        </is>
      </c>
      <c r="H29" s="194" t="inlineStr">
        <is>
          <t>Project Maven</t>
        </is>
      </c>
      <c r="I29" s="195" t="n">
        <v>102</v>
      </c>
    </row>
    <row r="30" ht="15.75" customHeight="1" s="156">
      <c r="A30" s="192" t="inlineStr">
        <is>
          <t>March 2026</t>
        </is>
      </c>
      <c r="B30" s="192" t="inlineStr">
        <is>
          <t>Varsity Team Session</t>
        </is>
      </c>
      <c r="C30" s="192" t="inlineStr">
        <is>
          <t>Stock tips</t>
        </is>
      </c>
      <c r="D30" s="192" t="inlineStr">
        <is>
          <t>27-Mar</t>
        </is>
      </c>
      <c r="E30" s="192" t="inlineStr">
        <is>
          <t>27-Mar</t>
        </is>
      </c>
      <c r="F30" s="192" t="inlineStr">
        <is>
          <t>Gaurav Kumar</t>
        </is>
      </c>
      <c r="G30" s="192" t="inlineStr">
        <is>
          <t>Online</t>
        </is>
      </c>
      <c r="H30" s="192" t="inlineStr">
        <is>
          <t>New hire training</t>
        </is>
      </c>
      <c r="I30" s="193" t="n">
        <v>1.5</v>
      </c>
    </row>
    <row r="31" ht="15.75" customHeight="1" s="156">
      <c r="A31" s="194" t="inlineStr">
        <is>
          <t>April 2026</t>
        </is>
      </c>
      <c r="B31" s="194" t="inlineStr">
        <is>
          <t>Support Training</t>
        </is>
      </c>
      <c r="C31" s="194" t="inlineStr">
        <is>
          <t>Batch 2 - C360 Training</t>
        </is>
      </c>
      <c r="D31" s="194" t="inlineStr">
        <is>
          <t>7-Apr</t>
        </is>
      </c>
      <c r="E31" s="194" t="inlineStr">
        <is>
          <t>10-Apr</t>
        </is>
      </c>
      <c r="F31" s="194" t="inlineStr">
        <is>
          <t>Freeda Reshma Dsouza</t>
        </is>
      </c>
      <c r="G31" s="194" t="inlineStr">
        <is>
          <t>Offline</t>
        </is>
      </c>
      <c r="H31" s="194" t="inlineStr">
        <is>
          <t>Assessment - Communicate 360</t>
        </is>
      </c>
      <c r="I31" s="195" t="n">
        <v>20</v>
      </c>
    </row>
    <row r="32" ht="15.75" customHeight="1" s="156">
      <c r="A32" s="194" t="inlineStr">
        <is>
          <t>April 2026</t>
        </is>
      </c>
      <c r="B32" s="194" t="inlineStr">
        <is>
          <t>Support Training</t>
        </is>
      </c>
      <c r="C32" s="194" t="inlineStr">
        <is>
          <t>Batch 3 - C360 Training</t>
        </is>
      </c>
      <c r="D32" s="194" t="inlineStr">
        <is>
          <t>21-Apr</t>
        </is>
      </c>
      <c r="E32" s="194" t="inlineStr">
        <is>
          <t>24-Apr</t>
        </is>
      </c>
      <c r="F32" s="194" t="inlineStr">
        <is>
          <t>Freeda Reshma Dsouza</t>
        </is>
      </c>
      <c r="G32" s="194" t="inlineStr">
        <is>
          <t>Offline</t>
        </is>
      </c>
      <c r="H32" s="194" t="inlineStr">
        <is>
          <t>Assessment - Communicate 360</t>
        </is>
      </c>
      <c r="I32" s="195" t="n">
        <v>20</v>
      </c>
    </row>
    <row r="33" ht="15.75" customHeight="1" s="156">
      <c r="A33" s="194" t="inlineStr">
        <is>
          <t>April 2026</t>
        </is>
      </c>
      <c r="B33" s="194" t="inlineStr">
        <is>
          <t>Support Training</t>
        </is>
      </c>
      <c r="C33" s="194" t="inlineStr">
        <is>
          <t>Batch 2 - C360 (Girish)</t>
        </is>
      </c>
      <c r="D33" s="194" t="inlineStr">
        <is>
          <t>21-Apr</t>
        </is>
      </c>
      <c r="E33" s="194" t="inlineStr">
        <is>
          <t>24-Apr</t>
        </is>
      </c>
      <c r="F33" s="194" t="inlineStr">
        <is>
          <t>Girish A</t>
        </is>
      </c>
      <c r="G33" s="194" t="inlineStr">
        <is>
          <t>Offline</t>
        </is>
      </c>
      <c r="H33" s="194" t="inlineStr">
        <is>
          <t>Assessment - Communicate 360</t>
        </is>
      </c>
      <c r="I33" s="195" t="n">
        <v>9</v>
      </c>
    </row>
    <row r="34" ht="15.75" customHeight="1" s="156">
      <c r="A34" s="194" t="inlineStr">
        <is>
          <t>April 2026</t>
        </is>
      </c>
      <c r="B34" s="194" t="inlineStr">
        <is>
          <t>Support Training</t>
        </is>
      </c>
      <c r="C34" s="194" t="inlineStr">
        <is>
          <t>Batch - C360 (Harish)</t>
        </is>
      </c>
      <c r="D34" s="194" t="inlineStr">
        <is>
          <t>21-Apr</t>
        </is>
      </c>
      <c r="E34" s="194" t="inlineStr">
        <is>
          <t>24-Apr</t>
        </is>
      </c>
      <c r="F34" s="194" t="inlineStr">
        <is>
          <t>Harish Bhat</t>
        </is>
      </c>
      <c r="G34" s="194" t="inlineStr">
        <is>
          <t>Offline</t>
        </is>
      </c>
      <c r="H34" s="194" t="inlineStr">
        <is>
          <t>Assessment - Communicate 360</t>
        </is>
      </c>
      <c r="I34" s="195" t="n">
        <v>9</v>
      </c>
    </row>
    <row r="35" ht="15.75" customHeight="1" s="156">
      <c r="A35" s="194" t="inlineStr">
        <is>
          <t>April 2026</t>
        </is>
      </c>
      <c r="B35" s="194" t="inlineStr">
        <is>
          <t>Support Training</t>
        </is>
      </c>
      <c r="C35" s="194" t="inlineStr">
        <is>
          <t>Tool Building - C360 Modifications</t>
        </is>
      </c>
      <c r="D35" s="194" t="inlineStr">
        <is>
          <t>13-Apr</t>
        </is>
      </c>
      <c r="E35" s="194" t="inlineStr">
        <is>
          <t>30-Apr</t>
        </is>
      </c>
      <c r="F35" s="194" t="inlineStr">
        <is>
          <t>Raju Vernekar / Girish A / Harish Bhat</t>
        </is>
      </c>
      <c r="G35" s="194" t="inlineStr">
        <is>
          <t>Offline</t>
        </is>
      </c>
      <c r="H35" s="194" t="inlineStr">
        <is>
          <t>Tool Building - C360 Modifications</t>
        </is>
      </c>
      <c r="I35" s="195" t="n">
        <v>15</v>
      </c>
    </row>
    <row r="36" ht="15.75" customHeight="1" s="156">
      <c r="A36" s="194" t="inlineStr">
        <is>
          <t>April 2026</t>
        </is>
      </c>
      <c r="B36" s="194" t="inlineStr">
        <is>
          <t>Assessment</t>
        </is>
      </c>
      <c r="C36" s="194" t="inlineStr">
        <is>
          <t>Batch 1 - Correction C360</t>
        </is>
      </c>
      <c r="D36" s="194" t="inlineStr">
        <is>
          <t>11-Apr</t>
        </is>
      </c>
      <c r="E36" s="194" t="inlineStr">
        <is>
          <t>15-Apr</t>
        </is>
      </c>
      <c r="F36" s="194" t="inlineStr">
        <is>
          <t>Freeda Reshma Dsouza / Girish A / Harish Bhat</t>
        </is>
      </c>
      <c r="G36" s="194" t="inlineStr">
        <is>
          <t>Offline</t>
        </is>
      </c>
      <c r="H36" s="194" t="inlineStr">
        <is>
          <t>Correction of Assessment - C360</t>
        </is>
      </c>
      <c r="I36" s="195" t="n">
        <v>30</v>
      </c>
    </row>
    <row r="37" ht="15.75" customHeight="1" s="156">
      <c r="A37" s="194" t="inlineStr">
        <is>
          <t>April 2026</t>
        </is>
      </c>
      <c r="B37" s="194" t="inlineStr">
        <is>
          <t>Assessment</t>
        </is>
      </c>
      <c r="C37" s="194" t="inlineStr">
        <is>
          <t>Batch 2 - Correction C360</t>
        </is>
      </c>
      <c r="D37" s="194" t="inlineStr">
        <is>
          <t>27-Apr</t>
        </is>
      </c>
      <c r="E37" s="194" t="inlineStr">
        <is>
          <t>30-Apr</t>
        </is>
      </c>
      <c r="F37" s="194" t="inlineStr">
        <is>
          <t>Girish A / Harish Bhat</t>
        </is>
      </c>
      <c r="G37" s="194" t="inlineStr">
        <is>
          <t>Offline</t>
        </is>
      </c>
      <c r="H37" s="194" t="inlineStr">
        <is>
          <t>Correction of Assessment - C360</t>
        </is>
      </c>
      <c r="I37" s="195" t="n">
        <v>15</v>
      </c>
    </row>
    <row r="38" ht="15.75" customHeight="1" s="156">
      <c r="A38" s="194" t="inlineStr">
        <is>
          <t>April 2026</t>
        </is>
      </c>
      <c r="B38" s="194" t="inlineStr">
        <is>
          <t>Support Training</t>
        </is>
      </c>
      <c r="C38" s="194" t="inlineStr">
        <is>
          <t>Batch 1&amp;2 Report Generation</t>
        </is>
      </c>
      <c r="D38" s="194" t="inlineStr">
        <is>
          <t>21-Apr</t>
        </is>
      </c>
      <c r="E38" s="194" t="inlineStr">
        <is>
          <t>21-Apr</t>
        </is>
      </c>
      <c r="F38" s="194" t="inlineStr">
        <is>
          <t>Harish Bhat</t>
        </is>
      </c>
      <c r="G38" s="194" t="inlineStr">
        <is>
          <t>Offline</t>
        </is>
      </c>
      <c r="H38" s="194" t="inlineStr">
        <is>
          <t>Report Generation - C360</t>
        </is>
      </c>
      <c r="I38" s="195" t="n">
        <v>8</v>
      </c>
    </row>
    <row r="39" ht="15.75" customHeight="1" s="156">
      <c r="A39" s="192" t="inlineStr">
        <is>
          <t>April 2026</t>
        </is>
      </c>
      <c r="B39" s="192" t="inlineStr">
        <is>
          <t>Accop Training</t>
        </is>
      </c>
      <c r="C39" s="192" t="inlineStr">
        <is>
          <t>Session on AML &amp; Stock tips</t>
        </is>
      </c>
      <c r="D39" s="192" t="inlineStr">
        <is>
          <t>23-Apr</t>
        </is>
      </c>
      <c r="E39" s="192" t="inlineStr">
        <is>
          <t>23-Apr</t>
        </is>
      </c>
      <c r="F39" s="192" t="inlineStr">
        <is>
          <t>Girish A</t>
        </is>
      </c>
      <c r="G39" s="192" t="inlineStr">
        <is>
          <t>Online</t>
        </is>
      </c>
      <c r="H39" s="192" t="inlineStr">
        <is>
          <t>AML &amp; Stock tips</t>
        </is>
      </c>
      <c r="I39" s="193" t="n">
        <v>1.75</v>
      </c>
    </row>
    <row r="40" ht="15.75" customHeight="1" s="156">
      <c r="A40" s="192" t="inlineStr">
        <is>
          <t>April 2026</t>
        </is>
      </c>
      <c r="B40" s="192" t="inlineStr">
        <is>
          <t>NRI Team Training</t>
        </is>
      </c>
      <c r="C40" s="192" t="inlineStr">
        <is>
          <t>Session on AML &amp; Stock tips</t>
        </is>
      </c>
      <c r="D40" s="192" t="inlineStr">
        <is>
          <t>27-Apr</t>
        </is>
      </c>
      <c r="E40" s="192" t="inlineStr">
        <is>
          <t>27-Apr</t>
        </is>
      </c>
      <c r="F40" s="192" t="inlineStr">
        <is>
          <t>Harish Bhat</t>
        </is>
      </c>
      <c r="G40" s="192" t="inlineStr">
        <is>
          <t>Online</t>
        </is>
      </c>
      <c r="H40" s="192" t="inlineStr">
        <is>
          <t>AML &amp; Stock tips</t>
        </is>
      </c>
      <c r="I40" s="193" t="n">
        <v>1.75</v>
      </c>
    </row>
    <row r="41" ht="15.75" customHeight="1" s="156">
      <c r="A41" s="192" t="inlineStr">
        <is>
          <t>April 2026</t>
        </is>
      </c>
      <c r="B41" s="192" t="inlineStr">
        <is>
          <t>Fresh Hires Training</t>
        </is>
      </c>
      <c r="C41" s="192" t="inlineStr">
        <is>
          <t>Session on AML &amp; Stock tips</t>
        </is>
      </c>
      <c r="D41" s="192" t="inlineStr">
        <is>
          <t>29-Apr</t>
        </is>
      </c>
      <c r="E41" s="192" t="inlineStr">
        <is>
          <t>29-Apr</t>
        </is>
      </c>
      <c r="F41" s="192" t="inlineStr">
        <is>
          <t>Girish A</t>
        </is>
      </c>
      <c r="G41" s="192" t="inlineStr">
        <is>
          <t>Online</t>
        </is>
      </c>
      <c r="H41" s="192" t="inlineStr">
        <is>
          <t>AML &amp; Stock tips</t>
        </is>
      </c>
      <c r="I41" s="193" t="n">
        <v>0.75</v>
      </c>
    </row>
    <row r="42" ht="15.75" customHeight="1" s="156">
      <c r="A42" s="192" t="inlineStr">
        <is>
          <t>April 2026</t>
        </is>
      </c>
      <c r="B42" s="192" t="inlineStr">
        <is>
          <t>Training Need Analysis</t>
        </is>
      </c>
      <c r="C42" s="192" t="inlineStr">
        <is>
          <t>Understanding requirements from CS</t>
        </is>
      </c>
      <c r="D42" s="192" t="inlineStr">
        <is>
          <t>16-Apr</t>
        </is>
      </c>
      <c r="E42" s="192" t="inlineStr">
        <is>
          <t>16-Apr</t>
        </is>
      </c>
      <c r="F42" s="192" t="inlineStr">
        <is>
          <t>Freeda Reshma Dsouza</t>
        </is>
      </c>
      <c r="G42" s="192" t="inlineStr">
        <is>
          <t>Online</t>
        </is>
      </c>
      <c r="H42" s="192" t="inlineStr">
        <is>
          <t>Training Need Analysis</t>
        </is>
      </c>
      <c r="I42" s="193" t="n">
        <v>1</v>
      </c>
    </row>
    <row r="43" ht="15.75" customHeight="1" s="156">
      <c r="A43" s="192" t="inlineStr">
        <is>
          <t>April 2026</t>
        </is>
      </c>
      <c r="B43" s="192" t="inlineStr">
        <is>
          <t>Self Assessment Form</t>
        </is>
      </c>
      <c r="C43" s="192" t="inlineStr">
        <is>
          <t>Building self assessment for CS</t>
        </is>
      </c>
      <c r="D43" s="192" t="inlineStr">
        <is>
          <t>17-Apr</t>
        </is>
      </c>
      <c r="E43" s="192" t="inlineStr">
        <is>
          <t>17-Apr</t>
        </is>
      </c>
      <c r="F43" s="192" t="inlineStr">
        <is>
          <t>Freeda Reshma Dsouza</t>
        </is>
      </c>
      <c r="G43" s="192" t="inlineStr">
        <is>
          <t>Online</t>
        </is>
      </c>
      <c r="H43" s="192" t="inlineStr">
        <is>
          <t>Self Assessment</t>
        </is>
      </c>
      <c r="I43" s="193" t="n">
        <v>0.5</v>
      </c>
    </row>
    <row r="44" ht="15.75" customHeight="1" s="156">
      <c r="A44" s="194" t="inlineStr">
        <is>
          <t>April 2026</t>
        </is>
      </c>
      <c r="B44" s="194" t="inlineStr">
        <is>
          <t>Varsity Scripts Writing</t>
        </is>
      </c>
      <c r="C44" s="194" t="inlineStr">
        <is>
          <t>Script preparation</t>
        </is>
      </c>
      <c r="D44" s="194" t="inlineStr">
        <is>
          <t>-</t>
        </is>
      </c>
      <c r="E44" s="194" t="inlineStr">
        <is>
          <t>-</t>
        </is>
      </c>
      <c r="F44" s="194" t="inlineStr">
        <is>
          <t>Harish Bhat</t>
        </is>
      </c>
      <c r="G44" s="194" t="inlineStr">
        <is>
          <t>Offline</t>
        </is>
      </c>
      <c r="H44" s="194" t="inlineStr">
        <is>
          <t>Varsity Scripts</t>
        </is>
      </c>
      <c r="I44" s="195" t="n">
        <v>2</v>
      </c>
    </row>
    <row r="45" ht="15.75" customHeight="1" s="156">
      <c r="A45" s="194" t="inlineStr">
        <is>
          <t>April 2026</t>
        </is>
      </c>
      <c r="B45" s="194" t="inlineStr">
        <is>
          <t>Varsity Video Shoot</t>
        </is>
      </c>
      <c r="C45" s="194" t="inlineStr">
        <is>
          <t>Video recording</t>
        </is>
      </c>
      <c r="D45" s="194" t="inlineStr">
        <is>
          <t>-</t>
        </is>
      </c>
      <c r="E45" s="194" t="inlineStr">
        <is>
          <t>-</t>
        </is>
      </c>
      <c r="F45" s="194" t="inlineStr">
        <is>
          <t>Harish Bhat</t>
        </is>
      </c>
      <c r="G45" s="194" t="inlineStr">
        <is>
          <t>Offline</t>
        </is>
      </c>
      <c r="H45" s="194" t="inlineStr">
        <is>
          <t>Varsity Videos</t>
        </is>
      </c>
      <c r="I45" s="195" t="n">
        <v>2</v>
      </c>
    </row>
    <row r="46" ht="15.75" customHeight="1" s="156">
      <c r="A46" s="194" t="inlineStr">
        <is>
          <t>April 2026</t>
        </is>
      </c>
      <c r="B46" s="194" t="inlineStr">
        <is>
          <t>Varsity Backend Support</t>
        </is>
      </c>
      <c r="C46" s="194" t="inlineStr">
        <is>
          <t>Tickets, exam schedule</t>
        </is>
      </c>
      <c r="D46" s="194" t="inlineStr">
        <is>
          <t>-</t>
        </is>
      </c>
      <c r="E46" s="194" t="inlineStr">
        <is>
          <t>-</t>
        </is>
      </c>
      <c r="F46" s="194" t="inlineStr">
        <is>
          <t>Harish Bhat</t>
        </is>
      </c>
      <c r="G46" s="194" t="inlineStr">
        <is>
          <t>Offline</t>
        </is>
      </c>
      <c r="H46" s="194" t="inlineStr">
        <is>
          <t>Varsity Backend</t>
        </is>
      </c>
      <c r="I46" s="195" t="n">
        <v>15</v>
      </c>
    </row>
    <row r="47" ht="15.75" customHeight="1" s="156">
      <c r="A47" s="194" t="inlineStr">
        <is>
          <t>April 2026</t>
        </is>
      </c>
      <c r="B47" s="194" t="inlineStr">
        <is>
          <t>Mock Calls</t>
        </is>
      </c>
      <c r="C47" s="194" t="inlineStr">
        <is>
          <t>Mock calls for SM</t>
        </is>
      </c>
      <c r="D47" s="194" t="inlineStr">
        <is>
          <t>30-Apr</t>
        </is>
      </c>
      <c r="E47" s="194" t="inlineStr">
        <is>
          <t>30-Apr</t>
        </is>
      </c>
      <c r="F47" s="194" t="inlineStr">
        <is>
          <t>Harish Bhat</t>
        </is>
      </c>
      <c r="G47" s="194" t="inlineStr">
        <is>
          <t>Offline</t>
        </is>
      </c>
      <c r="H47" s="194" t="inlineStr">
        <is>
          <t>Mock calls</t>
        </is>
      </c>
      <c r="I47" s="195" t="n">
        <v>2</v>
      </c>
    </row>
    <row r="48" ht="15.75" customHeight="1" s="156">
      <c r="A48" s="194" t="inlineStr">
        <is>
          <t>April 2026</t>
        </is>
      </c>
      <c r="B48" s="194" t="inlineStr">
        <is>
          <t>Mock Calls</t>
        </is>
      </c>
      <c r="C48" s="194" t="inlineStr">
        <is>
          <t>Mock calls for SM</t>
        </is>
      </c>
      <c r="D48" s="194" t="inlineStr">
        <is>
          <t>30-Apr</t>
        </is>
      </c>
      <c r="E48" s="194" t="inlineStr">
        <is>
          <t>30-Apr</t>
        </is>
      </c>
      <c r="F48" s="194" t="inlineStr">
        <is>
          <t>Girish A</t>
        </is>
      </c>
      <c r="G48" s="194" t="inlineStr">
        <is>
          <t>Offline</t>
        </is>
      </c>
      <c r="H48" s="194" t="inlineStr">
        <is>
          <t>Mock calls</t>
        </is>
      </c>
      <c r="I48" s="195" t="n">
        <v>2</v>
      </c>
    </row>
    <row r="49" ht="15.75" customHeight="1" s="156">
      <c r="A49" s="192" t="inlineStr">
        <is>
          <t>April 2026</t>
        </is>
      </c>
      <c r="B49" s="192" t="inlineStr">
        <is>
          <t>Ticket Tool Video</t>
        </is>
      </c>
      <c r="C49" s="192" t="inlineStr">
        <is>
          <t>Video production</t>
        </is>
      </c>
      <c r="D49" s="192" t="inlineStr">
        <is>
          <t>2-May</t>
        </is>
      </c>
      <c r="E49" s="192" t="inlineStr">
        <is>
          <t>2-May</t>
        </is>
      </c>
      <c r="F49" s="192" t="inlineStr">
        <is>
          <t>Harish Bhat</t>
        </is>
      </c>
      <c r="G49" s="192" t="inlineStr">
        <is>
          <t>Online</t>
        </is>
      </c>
      <c r="H49" s="192" t="inlineStr">
        <is>
          <t>Ticket Tool</t>
        </is>
      </c>
      <c r="I49" s="193" t="n">
        <v>3</v>
      </c>
    </row>
    <row r="50" ht="15.75" customHeight="1" s="156">
      <c r="A50" s="192" t="inlineStr">
        <is>
          <t>May 2026</t>
        </is>
      </c>
      <c r="B50" s="192" t="inlineStr">
        <is>
          <t>Support Training</t>
        </is>
      </c>
      <c r="C50" s="192" t="inlineStr">
        <is>
          <t>Session on AML and unsolicited SMS and tips</t>
        </is>
      </c>
      <c r="D50" s="192" t="inlineStr">
        <is>
          <t>2026-05-15</t>
        </is>
      </c>
      <c r="E50" s="192" t="inlineStr">
        <is>
          <t>—</t>
        </is>
      </c>
      <c r="F50" s="192" t="inlineStr">
        <is>
          <t>Girish A</t>
        </is>
      </c>
      <c r="G50" s="192" t="inlineStr">
        <is>
          <t>Online</t>
        </is>
      </c>
      <c r="H50" s="192" t="inlineStr">
        <is>
          <t>Session on AML and unsolicited SMS and tips</t>
        </is>
      </c>
      <c r="I50" s="193" t="n">
        <v>0.75</v>
      </c>
    </row>
    <row r="51" ht="15.75" customHeight="1" s="156">
      <c r="A51" s="192" t="inlineStr">
        <is>
          <t>May 2026</t>
        </is>
      </c>
      <c r="B51" s="192" t="inlineStr">
        <is>
          <t>Support Training</t>
        </is>
      </c>
      <c r="C51" s="192" t="inlineStr">
        <is>
          <t>Session on AML and Unsolicited SMS &amp; Tips</t>
        </is>
      </c>
      <c r="D51" s="192" t="inlineStr">
        <is>
          <t>2026-05-15</t>
        </is>
      </c>
      <c r="E51" s="192" t="inlineStr">
        <is>
          <t>—</t>
        </is>
      </c>
      <c r="F51" s="192" t="inlineStr">
        <is>
          <t>Harish Bhat</t>
        </is>
      </c>
      <c r="G51" s="192" t="inlineStr">
        <is>
          <t>Online</t>
        </is>
      </c>
      <c r="H51" s="192" t="inlineStr">
        <is>
          <t>Session on AML and Unsolicited SMS &amp; Tips</t>
        </is>
      </c>
      <c r="I51" s="193" t="n">
        <v>0.75</v>
      </c>
    </row>
    <row r="52" ht="15.75" customHeight="1" s="156">
      <c r="A52" s="192" t="inlineStr">
        <is>
          <t>May 2026</t>
        </is>
      </c>
      <c r="B52" s="192" t="inlineStr">
        <is>
          <t>Support Training</t>
        </is>
      </c>
      <c r="C52" s="192" t="inlineStr">
        <is>
          <t>Meeting with CS</t>
        </is>
      </c>
      <c r="D52" s="192" t="inlineStr">
        <is>
          <t>2026-05-18</t>
        </is>
      </c>
      <c r="E52" s="192" t="inlineStr">
        <is>
          <t>—</t>
        </is>
      </c>
      <c r="F52" s="192" t="inlineStr">
        <is>
          <t>Freeda Reshma Dsouza</t>
        </is>
      </c>
      <c r="G52" s="192" t="inlineStr">
        <is>
          <t>Online</t>
        </is>
      </c>
      <c r="H52" s="192" t="inlineStr">
        <is>
          <t>Meeting with CS</t>
        </is>
      </c>
      <c r="I52" s="193" t="n">
        <v>0.25</v>
      </c>
    </row>
    <row r="53" ht="15.75" customHeight="1" s="156">
      <c r="A53" s="192" t="inlineStr">
        <is>
          <t>May 2026</t>
        </is>
      </c>
      <c r="B53" s="192" t="inlineStr">
        <is>
          <t>Support Training</t>
        </is>
      </c>
      <c r="C53" s="192" t="inlineStr">
        <is>
          <t>Session on Primary and Secondary transfer of securities and SOPs of Abusive calls</t>
        </is>
      </c>
      <c r="D53" s="192" t="inlineStr">
        <is>
          <t>2026-05-22</t>
        </is>
      </c>
      <c r="E53" s="192" t="inlineStr">
        <is>
          <t>—</t>
        </is>
      </c>
      <c r="F53" s="192" t="inlineStr">
        <is>
          <t>Girish A</t>
        </is>
      </c>
      <c r="G53" s="192" t="inlineStr">
        <is>
          <t>Online</t>
        </is>
      </c>
      <c r="H53" s="192" t="inlineStr">
        <is>
          <t>Session on Primary and Secondary transfer of securities and SOPs of Abusive calls</t>
        </is>
      </c>
      <c r="I53" s="193" t="n">
        <v>1</v>
      </c>
    </row>
    <row r="54" ht="15.75" customHeight="1" s="156">
      <c r="A54" s="192" t="inlineStr">
        <is>
          <t>May 2026</t>
        </is>
      </c>
      <c r="B54" s="192" t="inlineStr">
        <is>
          <t>Support Training</t>
        </is>
      </c>
      <c r="C54" s="192" t="inlineStr">
        <is>
          <t>Session on Primary and Secondary transfer of securities and SOPs of Abusive calls</t>
        </is>
      </c>
      <c r="D54" s="192" t="inlineStr">
        <is>
          <t>2026-05-22</t>
        </is>
      </c>
      <c r="E54" s="192" t="inlineStr">
        <is>
          <t>—</t>
        </is>
      </c>
      <c r="F54" s="192" t="inlineStr">
        <is>
          <t>Girish A</t>
        </is>
      </c>
      <c r="G54" s="192" t="inlineStr">
        <is>
          <t>Online</t>
        </is>
      </c>
      <c r="H54" s="192" t="inlineStr">
        <is>
          <t>Session on Primary and Secondary transfer of securities and SOPs of Abusive calls</t>
        </is>
      </c>
      <c r="I54" s="193" t="n">
        <v>1</v>
      </c>
    </row>
    <row r="55" ht="15.75" customHeight="1" s="156">
      <c r="A55" s="192" t="inlineStr">
        <is>
          <t>May 2026</t>
        </is>
      </c>
      <c r="B55" s="192" t="inlineStr">
        <is>
          <t>Support Training</t>
        </is>
      </c>
      <c r="C55" s="192" t="inlineStr">
        <is>
          <t>Reviweing the Mock call and Pick &amp; Speak Assessments</t>
        </is>
      </c>
      <c r="D55" s="192" t="inlineStr">
        <is>
          <t>2026-05-18</t>
        </is>
      </c>
      <c r="E55" s="192" t="inlineStr">
        <is>
          <t>—</t>
        </is>
      </c>
      <c r="F55" s="192" t="inlineStr">
        <is>
          <t>Girish A</t>
        </is>
      </c>
      <c r="G55" s="192" t="inlineStr">
        <is>
          <t>Online</t>
        </is>
      </c>
      <c r="H55" s="192" t="inlineStr">
        <is>
          <t>Reviweing the Mock call and Pick &amp; Speak Assessments</t>
        </is>
      </c>
      <c r="I55" s="193" t="n">
        <v>2.5</v>
      </c>
    </row>
    <row r="56" ht="15.75" customHeight="1" s="156">
      <c r="A56" s="192" t="inlineStr">
        <is>
          <t>May 2026</t>
        </is>
      </c>
      <c r="B56" s="192" t="inlineStr">
        <is>
          <t>Support Training</t>
        </is>
      </c>
      <c r="C56" s="192" t="inlineStr">
        <is>
          <t>AML &amp; Unsolicited SMS training</t>
        </is>
      </c>
      <c r="D56" s="192" t="inlineStr">
        <is>
          <t>2026-05-08</t>
        </is>
      </c>
      <c r="E56" s="192" t="inlineStr">
        <is>
          <t>—</t>
        </is>
      </c>
      <c r="F56" s="192" t="inlineStr">
        <is>
          <t>Girish A</t>
        </is>
      </c>
      <c r="G56" s="192" t="inlineStr">
        <is>
          <t>Online</t>
        </is>
      </c>
      <c r="H56" s="192" t="inlineStr">
        <is>
          <t>AML &amp; Unsolicited SMS training</t>
        </is>
      </c>
      <c r="I56" s="193" t="n">
        <v>0.75</v>
      </c>
    </row>
    <row r="57" ht="15.75" customHeight="1" s="156">
      <c r="A57" s="192" t="inlineStr">
        <is>
          <t>May 2026</t>
        </is>
      </c>
      <c r="B57" s="192" t="inlineStr">
        <is>
          <t>Support Training</t>
        </is>
      </c>
      <c r="C57" s="192" t="inlineStr">
        <is>
          <t>Session on Primary and Secondary transfer of securities and SOPs of Abusive calls</t>
        </is>
      </c>
      <c r="D57" s="192" t="inlineStr">
        <is>
          <t>2026-05-20</t>
        </is>
      </c>
      <c r="E57" s="192" t="inlineStr">
        <is>
          <t>—</t>
        </is>
      </c>
      <c r="F57" s="192" t="inlineStr">
        <is>
          <t>Girish A</t>
        </is>
      </c>
      <c r="G57" s="192" t="inlineStr">
        <is>
          <t>Online</t>
        </is>
      </c>
      <c r="H57" s="192" t="inlineStr">
        <is>
          <t>Session on Primary and Secondary transfer of securities and SOPs of Abusive calls</t>
        </is>
      </c>
      <c r="I57" s="193" t="n">
        <v>1</v>
      </c>
    </row>
    <row r="58" ht="15.75" customHeight="1" s="156">
      <c r="A58" s="192" t="inlineStr">
        <is>
          <t>May 2026</t>
        </is>
      </c>
      <c r="B58" s="192" t="inlineStr">
        <is>
          <t>Other</t>
        </is>
      </c>
      <c r="C58" s="192" t="inlineStr">
        <is>
          <t>Meeting with legal team</t>
        </is>
      </c>
      <c r="D58" s="192" t="inlineStr">
        <is>
          <t>2026-05-12</t>
        </is>
      </c>
      <c r="E58" s="192" t="inlineStr">
        <is>
          <t>—</t>
        </is>
      </c>
      <c r="F58" s="192" t="inlineStr">
        <is>
          <t>Harish Bhat</t>
        </is>
      </c>
      <c r="G58" s="192" t="inlineStr">
        <is>
          <t>Online</t>
        </is>
      </c>
      <c r="H58" s="192" t="inlineStr">
        <is>
          <t>Rupeetales meeting</t>
        </is>
      </c>
      <c r="I58" s="193" t="n">
        <v>0.5</v>
      </c>
    </row>
    <row r="59" ht="15.75" customHeight="1" s="156">
      <c r="A59" s="192" t="inlineStr">
        <is>
          <t>May 2026</t>
        </is>
      </c>
      <c r="B59" s="192" t="inlineStr">
        <is>
          <t>Support Training</t>
        </is>
      </c>
      <c r="C59" s="192" t="inlineStr">
        <is>
          <t>Training for CS</t>
        </is>
      </c>
      <c r="D59" s="192" t="inlineStr">
        <is>
          <t>2026-05-19</t>
        </is>
      </c>
      <c r="E59" s="192" t="inlineStr">
        <is>
          <t>—</t>
        </is>
      </c>
      <c r="F59" s="192" t="inlineStr">
        <is>
          <t>Freeda Reshma Dsouza</t>
        </is>
      </c>
      <c r="G59" s="192" t="inlineStr">
        <is>
          <t>Online</t>
        </is>
      </c>
      <c r="H59" s="192" t="inlineStr">
        <is>
          <t>Training for CS</t>
        </is>
      </c>
      <c r="I59" s="193" t="n">
        <v>1.5</v>
      </c>
    </row>
    <row r="60" ht="15.75" customHeight="1" s="156">
      <c r="A60" s="192" t="inlineStr">
        <is>
          <t>May 2026</t>
        </is>
      </c>
      <c r="B60" s="192" t="inlineStr">
        <is>
          <t>Support Training</t>
        </is>
      </c>
      <c r="C60" s="192" t="inlineStr">
        <is>
          <t>Session on Primary and Secondary transfer of securities and SOPs of Abusive calls</t>
        </is>
      </c>
      <c r="D60" s="192" t="inlineStr">
        <is>
          <t>2026-05-20</t>
        </is>
      </c>
      <c r="E60" s="192" t="inlineStr">
        <is>
          <t>—</t>
        </is>
      </c>
      <c r="F60" s="192" t="inlineStr">
        <is>
          <t>Harish Bhat</t>
        </is>
      </c>
      <c r="G60" s="192" t="inlineStr">
        <is>
          <t>Online</t>
        </is>
      </c>
      <c r="H60" s="192" t="inlineStr">
        <is>
          <t>Session on Primary and Secondary transfer of securities and SOPs of Abusive calls</t>
        </is>
      </c>
      <c r="I60" s="193" t="n">
        <v>1.25</v>
      </c>
    </row>
    <row r="61" ht="15.75" customHeight="1" s="156">
      <c r="A61" s="192" t="inlineStr">
        <is>
          <t>May 2026</t>
        </is>
      </c>
      <c r="B61" s="192" t="inlineStr">
        <is>
          <t>Support Training</t>
        </is>
      </c>
      <c r="C61" s="192" t="inlineStr">
        <is>
          <t>Session on Primary and Secondary transfer of securities and SOPs of Abusive calls ·  Harish</t>
        </is>
      </c>
      <c r="D61" s="192" t="inlineStr">
        <is>
          <t>2026-05-21</t>
        </is>
      </c>
      <c r="E61" s="192" t="inlineStr">
        <is>
          <t>—</t>
        </is>
      </c>
      <c r="F61" s="192" t="inlineStr">
        <is>
          <t>Harish Bhat</t>
        </is>
      </c>
      <c r="G61" s="192" t="inlineStr">
        <is>
          <t>Online</t>
        </is>
      </c>
      <c r="H61" s="192" t="inlineStr">
        <is>
          <t>Session on Primary and Secondary transfer of securities and SOPs of Abusive calls ·  Harish</t>
        </is>
      </c>
      <c r="I61" s="193" t="n">
        <v>1.25</v>
      </c>
    </row>
    <row r="62" ht="15.75" customHeight="1" s="156">
      <c r="A62" s="194" t="inlineStr">
        <is>
          <t>May 2026</t>
        </is>
      </c>
      <c r="B62" s="194" t="inlineStr">
        <is>
          <t>Support Training</t>
        </is>
      </c>
      <c r="C62" s="194" t="inlineStr">
        <is>
          <t>Sadique team</t>
        </is>
      </c>
      <c r="D62" s="194" t="inlineStr">
        <is>
          <t>2026-05-04</t>
        </is>
      </c>
      <c r="E62" s="194" t="inlineStr">
        <is>
          <t>—</t>
        </is>
      </c>
      <c r="F62" s="194" t="inlineStr">
        <is>
          <t>Freeda Reshma Dsouza</t>
        </is>
      </c>
      <c r="G62" s="194" t="inlineStr">
        <is>
          <t>Offline</t>
        </is>
      </c>
      <c r="H62" s="194" t="inlineStr">
        <is>
          <t>Communicate 360- Anish's team</t>
        </is>
      </c>
      <c r="I62" s="195" t="n">
        <v>4.5</v>
      </c>
    </row>
    <row r="63" ht="15.75" customHeight="1" s="156">
      <c r="A63" s="194" t="inlineStr">
        <is>
          <t>May 2026</t>
        </is>
      </c>
      <c r="B63" s="194" t="inlineStr">
        <is>
          <t>Support Training</t>
        </is>
      </c>
      <c r="C63" s="194" t="inlineStr">
        <is>
          <t>Communicate 360- Anish's team</t>
        </is>
      </c>
      <c r="D63" s="194" t="inlineStr">
        <is>
          <t>2026-05-05</t>
        </is>
      </c>
      <c r="E63" s="194" t="inlineStr">
        <is>
          <t>—</t>
        </is>
      </c>
      <c r="F63" s="194" t="inlineStr">
        <is>
          <t>Freeda Reshma Dsouza</t>
        </is>
      </c>
      <c r="G63" s="194" t="inlineStr">
        <is>
          <t>Offline</t>
        </is>
      </c>
      <c r="H63" s="194" t="inlineStr">
        <is>
          <t>Communicate 360- Anish's team</t>
        </is>
      </c>
      <c r="I63" s="195" t="n">
        <v>4.5</v>
      </c>
    </row>
    <row r="64" ht="15.75" customHeight="1" s="156">
      <c r="A64" s="194" t="inlineStr">
        <is>
          <t>May 2026</t>
        </is>
      </c>
      <c r="B64" s="194" t="inlineStr">
        <is>
          <t>Support Training</t>
        </is>
      </c>
      <c r="C64" s="194" t="inlineStr">
        <is>
          <t>Communicate 360- Anish's team</t>
        </is>
      </c>
      <c r="D64" s="194" t="inlineStr">
        <is>
          <t>2026-05-06</t>
        </is>
      </c>
      <c r="E64" s="194" t="inlineStr">
        <is>
          <t>—</t>
        </is>
      </c>
      <c r="F64" s="194" t="inlineStr">
        <is>
          <t>Freeda Reshma Dsouza</t>
        </is>
      </c>
      <c r="G64" s="194" t="inlineStr">
        <is>
          <t>Offline</t>
        </is>
      </c>
      <c r="H64" s="194" t="inlineStr">
        <is>
          <t>Communicate 360- Anish's team</t>
        </is>
      </c>
      <c r="I64" s="195" t="n">
        <v>3.5</v>
      </c>
    </row>
    <row r="65" ht="15.75" customHeight="1" s="156">
      <c r="A65" s="194" t="inlineStr">
        <is>
          <t>May 2026</t>
        </is>
      </c>
      <c r="B65" s="194" t="inlineStr">
        <is>
          <t>Support Training</t>
        </is>
      </c>
      <c r="C65" s="194" t="inlineStr">
        <is>
          <t>Communicate 360- Anish's team</t>
        </is>
      </c>
      <c r="D65" s="194" t="inlineStr">
        <is>
          <t>2026-05-07</t>
        </is>
      </c>
      <c r="E65" s="194" t="inlineStr">
        <is>
          <t>—</t>
        </is>
      </c>
      <c r="F65" s="194" t="inlineStr">
        <is>
          <t>Freeda Reshma Dsouza</t>
        </is>
      </c>
      <c r="G65" s="194" t="inlineStr">
        <is>
          <t>Offline</t>
        </is>
      </c>
      <c r="H65" s="194" t="inlineStr">
        <is>
          <t>Communicate 360- Anish's team</t>
        </is>
      </c>
      <c r="I65" s="195" t="n">
        <v>3.5</v>
      </c>
    </row>
    <row r="66" ht="15.75" customHeight="1" s="156">
      <c r="A66" s="192" t="inlineStr">
        <is>
          <t>May 2026</t>
        </is>
      </c>
      <c r="B66" s="192" t="inlineStr">
        <is>
          <t>Support Training</t>
        </is>
      </c>
      <c r="C66" s="192" t="inlineStr">
        <is>
          <t>Review on Pick &amp; Speak</t>
        </is>
      </c>
      <c r="D66" s="192" t="inlineStr">
        <is>
          <t>2026-05-07</t>
        </is>
      </c>
      <c r="E66" s="192" t="inlineStr">
        <is>
          <t>—</t>
        </is>
      </c>
      <c r="F66" s="192" t="inlineStr">
        <is>
          <t>Freeda Reshma Dsouza</t>
        </is>
      </c>
      <c r="G66" s="192" t="inlineStr">
        <is>
          <t>Online</t>
        </is>
      </c>
      <c r="H66" s="192" t="inlineStr">
        <is>
          <t>Review on Pick &amp; Speak</t>
        </is>
      </c>
      <c r="I66" s="193" t="n">
        <v>2</v>
      </c>
    </row>
    <row r="67" ht="15.75" customHeight="1" s="156">
      <c r="A67" s="192" t="inlineStr">
        <is>
          <t>May 2026</t>
        </is>
      </c>
      <c r="B67" s="192" t="inlineStr">
        <is>
          <t>Support Training</t>
        </is>
      </c>
      <c r="C67" s="192" t="inlineStr">
        <is>
          <t>Session on Unsolicited SMS and Tips</t>
        </is>
      </c>
      <c r="D67" s="192" t="inlineStr">
        <is>
          <t>2026-05-27</t>
        </is>
      </c>
      <c r="E67" s="192" t="inlineStr">
        <is>
          <t>—</t>
        </is>
      </c>
      <c r="F67" s="192" t="inlineStr">
        <is>
          <t>Girish A</t>
        </is>
      </c>
      <c r="G67" s="192" t="inlineStr">
        <is>
          <t>Online</t>
        </is>
      </c>
      <c r="H67" s="192" t="inlineStr">
        <is>
          <t>Session on Unsolicited SMS and Tips</t>
        </is>
      </c>
      <c r="I67" s="193" t="n">
        <v>0.5</v>
      </c>
    </row>
    <row r="68" ht="15.75" customHeight="1" s="156">
      <c r="A68" s="192" t="inlineStr">
        <is>
          <t>May 2026</t>
        </is>
      </c>
      <c r="B68" s="192" t="inlineStr">
        <is>
          <t>Support Training</t>
        </is>
      </c>
      <c r="C68" s="192" t="inlineStr">
        <is>
          <t>Session on Primary and Secondary transfer of securities and SOPs of Abusive calls</t>
        </is>
      </c>
      <c r="D68" s="192" t="inlineStr">
        <is>
          <t>2026-05-20</t>
        </is>
      </c>
      <c r="E68" s="192" t="inlineStr">
        <is>
          <t>—</t>
        </is>
      </c>
      <c r="F68" s="192" t="inlineStr">
        <is>
          <t>Harish Bhat</t>
        </is>
      </c>
      <c r="G68" s="192" t="inlineStr">
        <is>
          <t>Online</t>
        </is>
      </c>
      <c r="H68" s="192" t="inlineStr">
        <is>
          <t>Session on Primary and Secondary transfer of securities and SOPs of Abusive calls</t>
        </is>
      </c>
      <c r="I68" s="193" t="n">
        <v>1</v>
      </c>
    </row>
    <row r="69" ht="15.75" customHeight="1" s="156">
      <c r="A69" s="192" t="inlineStr">
        <is>
          <t>May 2026</t>
        </is>
      </c>
      <c r="B69" s="192" t="inlineStr">
        <is>
          <t>Support Training</t>
        </is>
      </c>
      <c r="C69" s="192" t="inlineStr">
        <is>
          <t>Session on Primary and Secondary transfer of securities and SOPs of Abusive calls</t>
        </is>
      </c>
      <c r="D69" s="192" t="inlineStr">
        <is>
          <t>2026-05-25</t>
        </is>
      </c>
      <c r="E69" s="192" t="inlineStr">
        <is>
          <t>—</t>
        </is>
      </c>
      <c r="F69" s="192" t="inlineStr">
        <is>
          <t>Girish A</t>
        </is>
      </c>
      <c r="G69" s="192" t="inlineStr">
        <is>
          <t>Online</t>
        </is>
      </c>
      <c r="H69" s="192" t="inlineStr">
        <is>
          <t>Session on Primary and Secondary transfer of securities and SOPs of Abusive calls</t>
        </is>
      </c>
      <c r="I69" s="193" t="n">
        <v>1</v>
      </c>
    </row>
    <row r="70" ht="15.75" customHeight="1" s="156">
      <c r="A70" s="192" t="inlineStr">
        <is>
          <t>May 2026</t>
        </is>
      </c>
      <c r="B70" s="192" t="inlineStr">
        <is>
          <t>Support Training</t>
        </is>
      </c>
      <c r="C70" s="192" t="inlineStr">
        <is>
          <t>Session on Unsolicited SMS and Tips</t>
        </is>
      </c>
      <c r="D70" s="192" t="inlineStr">
        <is>
          <t>2026-05-27</t>
        </is>
      </c>
      <c r="E70" s="192" t="inlineStr">
        <is>
          <t>—</t>
        </is>
      </c>
      <c r="F70" s="192" t="inlineStr">
        <is>
          <t>Girish A</t>
        </is>
      </c>
      <c r="G70" s="192" t="inlineStr">
        <is>
          <t>Online</t>
        </is>
      </c>
      <c r="H70" s="192" t="inlineStr">
        <is>
          <t>Session on Unsolicited SMS and Tips</t>
        </is>
      </c>
      <c r="I70" s="193" t="n">
        <v>1</v>
      </c>
    </row>
    <row r="71" ht="15.75" customHeight="1" s="156">
      <c r="A71" s="192" t="inlineStr">
        <is>
          <t>May 2026</t>
        </is>
      </c>
      <c r="B71" s="192" t="inlineStr">
        <is>
          <t>Assessment</t>
        </is>
      </c>
      <c r="C71" s="192" t="inlineStr">
        <is>
          <t>Reviweing the Mock call and Pick &amp; Speak Assessments</t>
        </is>
      </c>
      <c r="D71" s="192" t="inlineStr">
        <is>
          <t>2026-05-18</t>
        </is>
      </c>
      <c r="E71" s="192" t="inlineStr">
        <is>
          <t>—</t>
        </is>
      </c>
      <c r="F71" s="192" t="inlineStr">
        <is>
          <t>Harish Bhat</t>
        </is>
      </c>
      <c r="G71" s="192" t="inlineStr">
        <is>
          <t>Online</t>
        </is>
      </c>
      <c r="H71" s="192" t="inlineStr">
        <is>
          <t>Reviweing the Mock call and Pick &amp; Speak Assessments</t>
        </is>
      </c>
      <c r="I71" s="193" t="n">
        <v>2.5</v>
      </c>
    </row>
    <row r="72" ht="15.75" customHeight="1" s="156">
      <c r="A72" s="194" t="inlineStr">
        <is>
          <t>May 2026</t>
        </is>
      </c>
      <c r="B72" s="194" t="inlineStr">
        <is>
          <t>Other</t>
        </is>
      </c>
      <c r="C72" s="194" t="inlineStr">
        <is>
          <t>Varsity shoot</t>
        </is>
      </c>
      <c r="D72" s="194" t="inlineStr">
        <is>
          <t>2026-05-22</t>
        </is>
      </c>
      <c r="E72" s="194" t="inlineStr">
        <is>
          <t>—</t>
        </is>
      </c>
      <c r="F72" s="194" t="inlineStr">
        <is>
          <t>Harish Bhat</t>
        </is>
      </c>
      <c r="G72" s="194" t="inlineStr">
        <is>
          <t>Offline</t>
        </is>
      </c>
      <c r="H72" s="194" t="inlineStr">
        <is>
          <t>Varsity shoot</t>
        </is>
      </c>
      <c r="I72" s="195" t="n">
        <v>1</v>
      </c>
    </row>
    <row r="73" ht="15.75" customHeight="1" s="156">
      <c r="A73" s="192" t="inlineStr">
        <is>
          <t>May 2026</t>
        </is>
      </c>
      <c r="B73" s="192" t="inlineStr">
        <is>
          <t>Support Training</t>
        </is>
      </c>
      <c r="C73" s="192" t="inlineStr">
        <is>
          <t>Session on Primary and Secondary transfer of securities and SOPs of Abusive calls</t>
        </is>
      </c>
      <c r="D73" s="192" t="inlineStr">
        <is>
          <t>2026-05-22</t>
        </is>
      </c>
      <c r="E73" s="192" t="inlineStr">
        <is>
          <t>—</t>
        </is>
      </c>
      <c r="F73" s="192" t="inlineStr">
        <is>
          <t>Harish Bhat</t>
        </is>
      </c>
      <c r="G73" s="192" t="inlineStr">
        <is>
          <t>Online</t>
        </is>
      </c>
      <c r="H73" s="192" t="inlineStr">
        <is>
          <t>Session on Primary and Secondary transfer of securities and SOPs of Abusive calls</t>
        </is>
      </c>
      <c r="I73" s="193" t="n">
        <v>1</v>
      </c>
    </row>
    <row r="74" ht="15.75" customHeight="1" s="156">
      <c r="A74" s="192" t="inlineStr">
        <is>
          <t>May 2026</t>
        </is>
      </c>
      <c r="B74" s="192" t="inlineStr">
        <is>
          <t>Other</t>
        </is>
      </c>
      <c r="C74" s="192" t="inlineStr">
        <is>
          <t>Preperation for Session on Primary and Secondary transfer of securities and SOPs of Abusive calls</t>
        </is>
      </c>
      <c r="D74" s="192" t="inlineStr">
        <is>
          <t>2026-05-19</t>
        </is>
      </c>
      <c r="E74" s="192" t="inlineStr">
        <is>
          <t>—</t>
        </is>
      </c>
      <c r="F74" s="192" t="inlineStr">
        <is>
          <t>Harish Bhat</t>
        </is>
      </c>
      <c r="G74" s="192" t="inlineStr">
        <is>
          <t>Online</t>
        </is>
      </c>
      <c r="H74" s="192" t="inlineStr">
        <is>
          <t>Preperation for Session on Primary and Secondary transfer of securities and SOPs of Abusive calls</t>
        </is>
      </c>
      <c r="I74" s="193" t="n">
        <v>6</v>
      </c>
    </row>
    <row r="75" ht="15.75" customHeight="1" s="156">
      <c r="A75" s="192" t="inlineStr">
        <is>
          <t>May 2026</t>
        </is>
      </c>
      <c r="B75" s="192" t="inlineStr">
        <is>
          <t>Other</t>
        </is>
      </c>
      <c r="C75" s="192" t="inlineStr">
        <is>
          <t>Varsity script work</t>
        </is>
      </c>
      <c r="D75" s="192" t="inlineStr">
        <is>
          <t>2026-05-13</t>
        </is>
      </c>
      <c r="E75" s="192" t="inlineStr">
        <is>
          <t>—</t>
        </is>
      </c>
      <c r="F75" s="192" t="inlineStr">
        <is>
          <t>Harish Bhat</t>
        </is>
      </c>
      <c r="G75" s="192" t="inlineStr">
        <is>
          <t>Online</t>
        </is>
      </c>
      <c r="H75" s="192" t="inlineStr">
        <is>
          <t>Varsity script work</t>
        </is>
      </c>
      <c r="I75" s="193" t="n">
        <v>2</v>
      </c>
    </row>
    <row r="76" ht="15.75" customHeight="1" s="156">
      <c r="A76" s="192" t="inlineStr">
        <is>
          <t>May 2026</t>
        </is>
      </c>
      <c r="B76" s="192" t="inlineStr">
        <is>
          <t>Other</t>
        </is>
      </c>
      <c r="C76" s="192" t="inlineStr">
        <is>
          <t>Varsity script work</t>
        </is>
      </c>
      <c r="D76" s="192" t="inlineStr">
        <is>
          <t>2026-05-11</t>
        </is>
      </c>
      <c r="E76" s="192" t="inlineStr">
        <is>
          <t>—</t>
        </is>
      </c>
      <c r="F76" s="192" t="inlineStr">
        <is>
          <t>Harish Bhat</t>
        </is>
      </c>
      <c r="G76" s="192" t="inlineStr">
        <is>
          <t>Online</t>
        </is>
      </c>
      <c r="H76" s="192" t="inlineStr">
        <is>
          <t>Varsity script work</t>
        </is>
      </c>
      <c r="I76" s="193" t="n">
        <v>2</v>
      </c>
    </row>
    <row r="77" ht="15.75" customHeight="1" s="156">
      <c r="A77" s="194" t="inlineStr">
        <is>
          <t>May 2026</t>
        </is>
      </c>
      <c r="B77" s="194" t="inlineStr">
        <is>
          <t>Assessment</t>
        </is>
      </c>
      <c r="C77" s="194" t="inlineStr">
        <is>
          <t>Communicate 360- Anish's team · proctoring</t>
        </is>
      </c>
      <c r="D77" s="194" t="inlineStr">
        <is>
          <t>2026-05-11</t>
        </is>
      </c>
      <c r="E77" s="194" t="inlineStr">
        <is>
          <t>—</t>
        </is>
      </c>
      <c r="F77" s="194" t="inlineStr">
        <is>
          <t>Harish Bhat</t>
        </is>
      </c>
      <c r="G77" s="194" t="inlineStr">
        <is>
          <t>Offline</t>
        </is>
      </c>
      <c r="H77" s="194" t="inlineStr">
        <is>
          <t>Communicate 360- Anish's team · proctoring</t>
        </is>
      </c>
      <c r="I77" s="195" t="n">
        <v>2</v>
      </c>
    </row>
    <row r="78" ht="15.75" customHeight="1" s="156">
      <c r="A78" s="194" t="inlineStr">
        <is>
          <t>May 2026</t>
        </is>
      </c>
      <c r="B78" s="194" t="inlineStr">
        <is>
          <t>Assessment</t>
        </is>
      </c>
      <c r="C78" s="194" t="inlineStr">
        <is>
          <t>Communicate 360- Anish's team · proctoring</t>
        </is>
      </c>
      <c r="D78" s="194" t="inlineStr">
        <is>
          <t>2026-05-12</t>
        </is>
      </c>
      <c r="E78" s="194" t="inlineStr">
        <is>
          <t>—</t>
        </is>
      </c>
      <c r="F78" s="194" t="inlineStr">
        <is>
          <t>Harish Bhat</t>
        </is>
      </c>
      <c r="G78" s="194" t="inlineStr">
        <is>
          <t>Offline</t>
        </is>
      </c>
      <c r="H78" s="194" t="inlineStr">
        <is>
          <t>Communicate 360- Anish's team · proctoring</t>
        </is>
      </c>
      <c r="I78" s="195" t="n">
        <v>1</v>
      </c>
    </row>
    <row r="79" ht="15.75" customHeight="1" s="156">
      <c r="A79" s="194" t="inlineStr">
        <is>
          <t>May 2026</t>
        </is>
      </c>
      <c r="B79" s="194" t="inlineStr">
        <is>
          <t>Support Training</t>
        </is>
      </c>
      <c r="C79" s="194" t="inlineStr">
        <is>
          <t>Communicate 360- Anish's team · proctoring  &amp; mockcall</t>
        </is>
      </c>
      <c r="D79" s="194" t="inlineStr">
        <is>
          <t>2026-05-14</t>
        </is>
      </c>
      <c r="E79" s="194" t="inlineStr">
        <is>
          <t>—</t>
        </is>
      </c>
      <c r="F79" s="194" t="inlineStr">
        <is>
          <t>Harish Bhat</t>
        </is>
      </c>
      <c r="G79" s="194" t="inlineStr">
        <is>
          <t>Offline</t>
        </is>
      </c>
      <c r="H79" s="194" t="inlineStr">
        <is>
          <t>Communicate 360- Anish's team · proctoring  &amp; mockcall</t>
        </is>
      </c>
      <c r="I79" s="195" t="n">
        <v>4</v>
      </c>
    </row>
    <row r="80" ht="15.75" customHeight="1" s="156">
      <c r="A80" s="194" t="inlineStr">
        <is>
          <t>May 2026</t>
        </is>
      </c>
      <c r="B80" s="194" t="inlineStr">
        <is>
          <t>Other</t>
        </is>
      </c>
      <c r="C80" s="194" t="inlineStr">
        <is>
          <t>QOD Preperation</t>
        </is>
      </c>
      <c r="D80" s="194" t="inlineStr">
        <is>
          <t>2026-05-27</t>
        </is>
      </c>
      <c r="E80" s="194" t="inlineStr">
        <is>
          <t>—</t>
        </is>
      </c>
      <c r="F80" s="194" t="inlineStr">
        <is>
          <t>Harish Bhat</t>
        </is>
      </c>
      <c r="G80" s="194" t="inlineStr">
        <is>
          <t>Offline</t>
        </is>
      </c>
      <c r="H80" s="194" t="inlineStr">
        <is>
          <t>QOD Preperation</t>
        </is>
      </c>
      <c r="I80" s="195" t="n">
        <v>0.5</v>
      </c>
    </row>
    <row r="81" ht="15.75" customHeight="1" s="156">
      <c r="A81" s="192" t="inlineStr">
        <is>
          <t>May 2026</t>
        </is>
      </c>
      <c r="B81" s="192" t="inlineStr">
        <is>
          <t>Other</t>
        </is>
      </c>
      <c r="C81" s="192" t="inlineStr">
        <is>
          <t>varsity tickets</t>
        </is>
      </c>
      <c r="D81" s="192" t="inlineStr">
        <is>
          <t>2026-05-04</t>
        </is>
      </c>
      <c r="E81" s="192" t="inlineStr">
        <is>
          <t>—</t>
        </is>
      </c>
      <c r="F81" s="192" t="inlineStr">
        <is>
          <t>Harish Bhat</t>
        </is>
      </c>
      <c r="G81" s="192" t="inlineStr">
        <is>
          <t>Online</t>
        </is>
      </c>
      <c r="H81" s="192" t="inlineStr">
        <is>
          <t>varsity tickets</t>
        </is>
      </c>
      <c r="I81" s="193" t="n">
        <v>0.25</v>
      </c>
    </row>
    <row r="82" ht="15.75" customHeight="1" s="156">
      <c r="A82" s="192" t="inlineStr">
        <is>
          <t>May 2026</t>
        </is>
      </c>
      <c r="B82" s="192" t="inlineStr">
        <is>
          <t>Other</t>
        </is>
      </c>
      <c r="C82" s="192" t="inlineStr">
        <is>
          <t>varsity tickets</t>
        </is>
      </c>
      <c r="D82" s="192" t="inlineStr">
        <is>
          <t>2026-05-05</t>
        </is>
      </c>
      <c r="E82" s="192" t="inlineStr">
        <is>
          <t>—</t>
        </is>
      </c>
      <c r="F82" s="192" t="inlineStr">
        <is>
          <t>Harish Bhat</t>
        </is>
      </c>
      <c r="G82" s="192" t="inlineStr">
        <is>
          <t>Online</t>
        </is>
      </c>
      <c r="H82" s="192" t="inlineStr">
        <is>
          <t>varsity tickets</t>
        </is>
      </c>
      <c r="I82" s="193" t="n">
        <v>0.25</v>
      </c>
    </row>
    <row r="83" ht="15.75" customHeight="1" s="156">
      <c r="A83" s="192" t="inlineStr">
        <is>
          <t>May 2026</t>
        </is>
      </c>
      <c r="B83" s="192" t="inlineStr">
        <is>
          <t>Other</t>
        </is>
      </c>
      <c r="C83" s="192" t="inlineStr">
        <is>
          <t>varsity tickets</t>
        </is>
      </c>
      <c r="D83" s="192" t="inlineStr">
        <is>
          <t>2026-05-06</t>
        </is>
      </c>
      <c r="E83" s="192" t="inlineStr">
        <is>
          <t>—</t>
        </is>
      </c>
      <c r="F83" s="192" t="inlineStr">
        <is>
          <t>Harish Bhat</t>
        </is>
      </c>
      <c r="G83" s="192" t="inlineStr">
        <is>
          <t>Online</t>
        </is>
      </c>
      <c r="H83" s="192" t="inlineStr">
        <is>
          <t>varsity tickets</t>
        </is>
      </c>
      <c r="I83" s="193" t="n">
        <v>0.25</v>
      </c>
    </row>
    <row r="84" ht="15.75" customHeight="1" s="156">
      <c r="A84" s="194" t="inlineStr">
        <is>
          <t>May 2026</t>
        </is>
      </c>
      <c r="B84" s="194" t="inlineStr">
        <is>
          <t>Support Training</t>
        </is>
      </c>
      <c r="C84" s="194" t="inlineStr">
        <is>
          <t>Communicate 360- Anish's team · proctoring</t>
        </is>
      </c>
      <c r="D84" s="194" t="inlineStr">
        <is>
          <t>2026-05-04</t>
        </is>
      </c>
      <c r="E84" s="194" t="inlineStr">
        <is>
          <t>—</t>
        </is>
      </c>
      <c r="F84" s="194" t="inlineStr">
        <is>
          <t>Harish Bhat</t>
        </is>
      </c>
      <c r="G84" s="194" t="inlineStr">
        <is>
          <t>Offline</t>
        </is>
      </c>
      <c r="H84" s="194" t="inlineStr">
        <is>
          <t>Communicate 360- Anish's team · proctoring</t>
        </is>
      </c>
      <c r="I84" s="195" t="n">
        <v>3</v>
      </c>
    </row>
    <row r="85" ht="15.75" customHeight="1" s="156">
      <c r="A85" s="194" t="inlineStr">
        <is>
          <t>May 2026</t>
        </is>
      </c>
      <c r="B85" s="194" t="inlineStr">
        <is>
          <t>Support Training</t>
        </is>
      </c>
      <c r="C85" s="194" t="inlineStr">
        <is>
          <t>Communicate 360- Anish's team</t>
        </is>
      </c>
      <c r="D85" s="194" t="inlineStr">
        <is>
          <t>2026-05-05</t>
        </is>
      </c>
      <c r="E85" s="194" t="inlineStr">
        <is>
          <t>—</t>
        </is>
      </c>
      <c r="F85" s="194" t="inlineStr">
        <is>
          <t>Harish Bhat</t>
        </is>
      </c>
      <c r="G85" s="194" t="inlineStr">
        <is>
          <t>Offline</t>
        </is>
      </c>
      <c r="H85" s="194" t="inlineStr">
        <is>
          <t>Communicate 360- Anish's team</t>
        </is>
      </c>
      <c r="I85" s="195" t="n">
        <v>3</v>
      </c>
    </row>
    <row r="86" ht="15.75" customHeight="1" s="156">
      <c r="A86" s="194" t="inlineStr">
        <is>
          <t>May 2026</t>
        </is>
      </c>
      <c r="B86" s="194" t="inlineStr">
        <is>
          <t>Support Training</t>
        </is>
      </c>
      <c r="C86" s="194" t="inlineStr">
        <is>
          <t>Communicate 360- Anish's team proctoring</t>
        </is>
      </c>
      <c r="D86" s="194" t="inlineStr">
        <is>
          <t>2026-05-06</t>
        </is>
      </c>
      <c r="E86" s="194" t="inlineStr">
        <is>
          <t>—</t>
        </is>
      </c>
      <c r="F86" s="194" t="inlineStr">
        <is>
          <t>Harish Bhat</t>
        </is>
      </c>
      <c r="G86" s="194" t="inlineStr">
        <is>
          <t>Offline</t>
        </is>
      </c>
      <c r="H86" s="194" t="inlineStr">
        <is>
          <t>Communicate 360- Anish's team proctoring</t>
        </is>
      </c>
      <c r="I86" s="195" t="n">
        <v>2</v>
      </c>
    </row>
    <row r="87" ht="15.75" customHeight="1" s="156">
      <c r="A87" s="192" t="inlineStr">
        <is>
          <t>May 2026</t>
        </is>
      </c>
      <c r="B87" s="192" t="inlineStr">
        <is>
          <t>Assessment</t>
        </is>
      </c>
      <c r="C87" s="192" t="inlineStr">
        <is>
          <t>Review on Pick &amp; Speak &amp; mockcall</t>
        </is>
      </c>
      <c r="D87" s="192" t="inlineStr">
        <is>
          <t>2026-05-08</t>
        </is>
      </c>
      <c r="E87" s="192" t="inlineStr">
        <is>
          <t>—</t>
        </is>
      </c>
      <c r="F87" s="192" t="inlineStr">
        <is>
          <t>Harish Bhat</t>
        </is>
      </c>
      <c r="G87" s="192" t="inlineStr">
        <is>
          <t>Online</t>
        </is>
      </c>
      <c r="H87" s="192" t="inlineStr">
        <is>
          <t>Review on Pick &amp; Speak &amp; mockcall</t>
        </is>
      </c>
      <c r="I87" s="193" t="n">
        <v>4</v>
      </c>
    </row>
    <row r="88" ht="15.75" customHeight="1" s="156">
      <c r="A88" s="194" t="inlineStr">
        <is>
          <t>May 2026</t>
        </is>
      </c>
      <c r="B88" s="194" t="inlineStr">
        <is>
          <t>Assessment</t>
        </is>
      </c>
      <c r="C88" s="194" t="inlineStr">
        <is>
          <t>Communicate 360- Anish's team · proctoring</t>
        </is>
      </c>
      <c r="D88" s="194" t="inlineStr">
        <is>
          <t>2026-05-11</t>
        </is>
      </c>
      <c r="E88" s="194" t="inlineStr">
        <is>
          <t>—</t>
        </is>
      </c>
      <c r="F88" s="194" t="inlineStr">
        <is>
          <t>Harish Bhat</t>
        </is>
      </c>
      <c r="G88" s="194" t="inlineStr">
        <is>
          <t>Offline</t>
        </is>
      </c>
      <c r="H88" s="194" t="inlineStr">
        <is>
          <t>Communicate 360- Anish's team · proctoring</t>
        </is>
      </c>
      <c r="I88" s="195" t="n">
        <v>3</v>
      </c>
    </row>
    <row r="89" ht="15.75" customHeight="1" s="156">
      <c r="A89" s="194" t="inlineStr">
        <is>
          <t>May 2026</t>
        </is>
      </c>
      <c r="B89" s="194" t="inlineStr">
        <is>
          <t>Assessment</t>
        </is>
      </c>
      <c r="C89" s="194" t="inlineStr">
        <is>
          <t>Communicate 360- Anish's team · proctoring</t>
        </is>
      </c>
      <c r="D89" s="194" t="inlineStr">
        <is>
          <t>2026-05-12</t>
        </is>
      </c>
      <c r="E89" s="194" t="inlineStr">
        <is>
          <t>—</t>
        </is>
      </c>
      <c r="F89" s="194" t="inlineStr">
        <is>
          <t>Harish Bhat</t>
        </is>
      </c>
      <c r="G89" s="194" t="inlineStr">
        <is>
          <t>Offline</t>
        </is>
      </c>
      <c r="H89" s="194" t="inlineStr">
        <is>
          <t>Communicate 360- Anish's team · proctoring</t>
        </is>
      </c>
      <c r="I89" s="195" t="n">
        <v>1.5</v>
      </c>
    </row>
    <row r="90" ht="15.75" customHeight="1" s="156">
      <c r="A90" s="194" t="inlineStr">
        <is>
          <t>May 2026</t>
        </is>
      </c>
      <c r="B90" s="194" t="inlineStr">
        <is>
          <t>Assessment</t>
        </is>
      </c>
      <c r="C90" s="194" t="inlineStr">
        <is>
          <t>Communicate 360- Anish's team · proctoring</t>
        </is>
      </c>
      <c r="D90" s="194" t="inlineStr">
        <is>
          <t>2026-05-13</t>
        </is>
      </c>
      <c r="E90" s="194" t="inlineStr">
        <is>
          <t>—</t>
        </is>
      </c>
      <c r="F90" s="194" t="inlineStr">
        <is>
          <t>Harish Bhat</t>
        </is>
      </c>
      <c r="G90" s="194" t="inlineStr">
        <is>
          <t>Offline</t>
        </is>
      </c>
      <c r="H90" s="194" t="inlineStr">
        <is>
          <t>Communicate 360- Anish's team · proctoring</t>
        </is>
      </c>
      <c r="I90" s="195" t="n">
        <v>3</v>
      </c>
    </row>
    <row r="91" ht="15.75" customHeight="1" s="156">
      <c r="A91" s="194" t="inlineStr">
        <is>
          <t>May 2026</t>
        </is>
      </c>
      <c r="B91" s="194" t="inlineStr">
        <is>
          <t>Assessment</t>
        </is>
      </c>
      <c r="C91" s="194" t="inlineStr">
        <is>
          <t>Communicate 360- Anish's team · proctoring</t>
        </is>
      </c>
      <c r="D91" s="194" t="inlineStr">
        <is>
          <t>2026-05-14</t>
        </is>
      </c>
      <c r="E91" s="194" t="inlineStr">
        <is>
          <t>—</t>
        </is>
      </c>
      <c r="F91" s="194" t="inlineStr">
        <is>
          <t>Harish Bhat</t>
        </is>
      </c>
      <c r="G91" s="194" t="inlineStr">
        <is>
          <t>Offline</t>
        </is>
      </c>
      <c r="H91" s="194" t="inlineStr">
        <is>
          <t>Communicate 360- Anish's team · proctoring</t>
        </is>
      </c>
      <c r="I91" s="195" t="n">
        <v>3</v>
      </c>
    </row>
    <row r="92" ht="15.75" customHeight="1" s="156">
      <c r="A92" s="192" t="inlineStr">
        <is>
          <t>May 2026</t>
        </is>
      </c>
      <c r="B92" s="192" t="inlineStr">
        <is>
          <t>Other</t>
        </is>
      </c>
      <c r="C92" s="192" t="inlineStr">
        <is>
          <t>varsity tickets</t>
        </is>
      </c>
      <c r="D92" s="192" t="inlineStr">
        <is>
          <t>2026-05-07</t>
        </is>
      </c>
      <c r="E92" s="192" t="inlineStr">
        <is>
          <t>—</t>
        </is>
      </c>
      <c r="F92" s="192" t="inlineStr">
        <is>
          <t>Harish Bhat</t>
        </is>
      </c>
      <c r="G92" s="192" t="inlineStr">
        <is>
          <t>Online</t>
        </is>
      </c>
      <c r="H92" s="192" t="inlineStr">
        <is>
          <t>varsity tickets</t>
        </is>
      </c>
      <c r="I92" s="193" t="n">
        <v>0.25</v>
      </c>
    </row>
    <row r="93" ht="15.75" customHeight="1" s="156">
      <c r="A93" s="192" t="inlineStr">
        <is>
          <t>May 2026</t>
        </is>
      </c>
      <c r="B93" s="192" t="inlineStr">
        <is>
          <t>Other</t>
        </is>
      </c>
      <c r="C93" s="192" t="inlineStr">
        <is>
          <t>varsity tickets</t>
        </is>
      </c>
      <c r="D93" s="192" t="inlineStr">
        <is>
          <t>2026-05-08</t>
        </is>
      </c>
      <c r="E93" s="192" t="inlineStr">
        <is>
          <t>—</t>
        </is>
      </c>
      <c r="F93" s="192" t="inlineStr">
        <is>
          <t>Harish Bhat</t>
        </is>
      </c>
      <c r="G93" s="192" t="inlineStr">
        <is>
          <t>Online</t>
        </is>
      </c>
      <c r="H93" s="192" t="inlineStr">
        <is>
          <t>varsity tickets</t>
        </is>
      </c>
      <c r="I93" s="193" t="n">
        <v>0.25</v>
      </c>
    </row>
    <row r="94" ht="15.75" customHeight="1" s="156">
      <c r="A94" s="192" t="inlineStr">
        <is>
          <t>May 2026</t>
        </is>
      </c>
      <c r="B94" s="192" t="inlineStr">
        <is>
          <t>Other</t>
        </is>
      </c>
      <c r="C94" s="192" t="inlineStr">
        <is>
          <t>varsity tickets</t>
        </is>
      </c>
      <c r="D94" s="192" t="inlineStr">
        <is>
          <t>2026-05-11</t>
        </is>
      </c>
      <c r="E94" s="192" t="inlineStr">
        <is>
          <t>—</t>
        </is>
      </c>
      <c r="F94" s="192" t="inlineStr">
        <is>
          <t>Harish Bhat</t>
        </is>
      </c>
      <c r="G94" s="192" t="inlineStr">
        <is>
          <t>Online</t>
        </is>
      </c>
      <c r="H94" s="192" t="inlineStr">
        <is>
          <t>varsity tickets</t>
        </is>
      </c>
      <c r="I94" s="193" t="n">
        <v>0.25</v>
      </c>
    </row>
    <row r="95" ht="15.75" customHeight="1" s="156">
      <c r="A95" s="192" t="inlineStr">
        <is>
          <t>May 2026</t>
        </is>
      </c>
      <c r="B95" s="192" t="inlineStr">
        <is>
          <t>Other</t>
        </is>
      </c>
      <c r="C95" s="192" t="inlineStr">
        <is>
          <t>varsity tickets</t>
        </is>
      </c>
      <c r="D95" s="192" t="inlineStr">
        <is>
          <t>2026-05-12</t>
        </is>
      </c>
      <c r="E95" s="192" t="inlineStr">
        <is>
          <t>—</t>
        </is>
      </c>
      <c r="F95" s="192" t="inlineStr">
        <is>
          <t>Harish Bhat</t>
        </is>
      </c>
      <c r="G95" s="192" t="inlineStr">
        <is>
          <t>Online</t>
        </is>
      </c>
      <c r="H95" s="192" t="inlineStr">
        <is>
          <t>varsity tickets</t>
        </is>
      </c>
      <c r="I95" s="193" t="n">
        <v>0.25</v>
      </c>
    </row>
    <row r="96" ht="15.75" customHeight="1" s="156">
      <c r="A96" s="192" t="inlineStr">
        <is>
          <t>May 2026</t>
        </is>
      </c>
      <c r="B96" s="192" t="inlineStr">
        <is>
          <t>Other</t>
        </is>
      </c>
      <c r="C96" s="192" t="inlineStr">
        <is>
          <t>varsity tickets</t>
        </is>
      </c>
      <c r="D96" s="192" t="inlineStr">
        <is>
          <t>2026-05-13</t>
        </is>
      </c>
      <c r="E96" s="192" t="inlineStr">
        <is>
          <t>—</t>
        </is>
      </c>
      <c r="F96" s="192" t="inlineStr">
        <is>
          <t>Harish Bhat</t>
        </is>
      </c>
      <c r="G96" s="192" t="inlineStr">
        <is>
          <t>Online</t>
        </is>
      </c>
      <c r="H96" s="192" t="inlineStr">
        <is>
          <t>varsity tickets</t>
        </is>
      </c>
      <c r="I96" s="193" t="n">
        <v>0.25</v>
      </c>
    </row>
    <row r="97" ht="15.75" customHeight="1" s="156">
      <c r="A97" s="192" t="inlineStr">
        <is>
          <t>May 2026</t>
        </is>
      </c>
      <c r="B97" s="192" t="inlineStr">
        <is>
          <t>Other</t>
        </is>
      </c>
      <c r="C97" s="192" t="inlineStr">
        <is>
          <t>varsity tickets</t>
        </is>
      </c>
      <c r="D97" s="192" t="inlineStr">
        <is>
          <t>2026-05-14</t>
        </is>
      </c>
      <c r="E97" s="192" t="inlineStr">
        <is>
          <t>—</t>
        </is>
      </c>
      <c r="F97" s="192" t="inlineStr">
        <is>
          <t>Harish Bhat</t>
        </is>
      </c>
      <c r="G97" s="192" t="inlineStr">
        <is>
          <t>Online</t>
        </is>
      </c>
      <c r="H97" s="192" t="inlineStr">
        <is>
          <t>varsity tickets</t>
        </is>
      </c>
      <c r="I97" s="193" t="n">
        <v>0.25</v>
      </c>
    </row>
    <row r="98" ht="15.75" customHeight="1" s="156">
      <c r="A98" s="192" t="inlineStr">
        <is>
          <t>May 2026</t>
        </is>
      </c>
      <c r="B98" s="192" t="inlineStr">
        <is>
          <t>Support Training</t>
        </is>
      </c>
      <c r="C98" s="192" t="inlineStr">
        <is>
          <t>varsity tickets</t>
        </is>
      </c>
      <c r="D98" s="192" t="inlineStr">
        <is>
          <t>2026-05-15</t>
        </is>
      </c>
      <c r="E98" s="192" t="inlineStr">
        <is>
          <t>—</t>
        </is>
      </c>
      <c r="F98" s="192" t="inlineStr">
        <is>
          <t>Harish Bhat</t>
        </is>
      </c>
      <c r="G98" s="192" t="inlineStr">
        <is>
          <t>Online</t>
        </is>
      </c>
      <c r="H98" s="192" t="inlineStr">
        <is>
          <t>varsity tickets</t>
        </is>
      </c>
      <c r="I98" s="193" t="n">
        <v>0.25</v>
      </c>
    </row>
    <row r="99" ht="15.75" customHeight="1" s="156">
      <c r="A99" s="194" t="inlineStr">
        <is>
          <t>May 2026</t>
        </is>
      </c>
      <c r="B99" s="194" t="inlineStr">
        <is>
          <t>Other</t>
        </is>
      </c>
      <c r="C99" s="194" t="inlineStr">
        <is>
          <t>varsity tickets</t>
        </is>
      </c>
      <c r="D99" s="194" t="inlineStr">
        <is>
          <t>2026-05-18</t>
        </is>
      </c>
      <c r="E99" s="194" t="inlineStr">
        <is>
          <t>—</t>
        </is>
      </c>
      <c r="F99" s="194" t="inlineStr">
        <is>
          <t>Harish Bhat</t>
        </is>
      </c>
      <c r="G99" s="194" t="inlineStr">
        <is>
          <t>Offline</t>
        </is>
      </c>
      <c r="H99" s="194" t="inlineStr">
        <is>
          <t>varsity tickets</t>
        </is>
      </c>
      <c r="I99" s="195" t="n">
        <v>0.25</v>
      </c>
    </row>
    <row r="100" ht="15.75" customHeight="1" s="156">
      <c r="A100" s="192" t="inlineStr">
        <is>
          <t>May 2026</t>
        </is>
      </c>
      <c r="B100" s="192" t="inlineStr">
        <is>
          <t>Other</t>
        </is>
      </c>
      <c r="C100" s="192" t="inlineStr">
        <is>
          <t>varsity tickets</t>
        </is>
      </c>
      <c r="D100" s="192" t="inlineStr">
        <is>
          <t>2026-05-19</t>
        </is>
      </c>
      <c r="E100" s="192" t="inlineStr">
        <is>
          <t>—</t>
        </is>
      </c>
      <c r="F100" s="192" t="inlineStr">
        <is>
          <t>Harish Bhat</t>
        </is>
      </c>
      <c r="G100" s="192" t="inlineStr">
        <is>
          <t>Online</t>
        </is>
      </c>
      <c r="H100" s="192" t="inlineStr">
        <is>
          <t>varsity tickets</t>
        </is>
      </c>
      <c r="I100" s="193" t="n">
        <v>0.25</v>
      </c>
    </row>
    <row r="101" ht="15.75" customHeight="1" s="156">
      <c r="A101" s="192" t="inlineStr">
        <is>
          <t>May 2026</t>
        </is>
      </c>
      <c r="B101" s="192" t="inlineStr">
        <is>
          <t>Other</t>
        </is>
      </c>
      <c r="C101" s="192" t="inlineStr">
        <is>
          <t>varsity tickets</t>
        </is>
      </c>
      <c r="D101" s="192" t="inlineStr">
        <is>
          <t>2026-05-20</t>
        </is>
      </c>
      <c r="E101" s="192" t="inlineStr">
        <is>
          <t>—</t>
        </is>
      </c>
      <c r="F101" s="192" t="inlineStr">
        <is>
          <t>Harish Bhat</t>
        </is>
      </c>
      <c r="G101" s="192" t="inlineStr">
        <is>
          <t>Online</t>
        </is>
      </c>
      <c r="H101" s="192" t="inlineStr">
        <is>
          <t>varsity tickets</t>
        </is>
      </c>
      <c r="I101" s="193" t="n">
        <v>0.25</v>
      </c>
    </row>
    <row r="102" ht="15.75" customHeight="1" s="156">
      <c r="A102" s="192" t="inlineStr">
        <is>
          <t>May 2026</t>
        </is>
      </c>
      <c r="B102" s="192" t="inlineStr">
        <is>
          <t>Other</t>
        </is>
      </c>
      <c r="C102" s="192" t="inlineStr">
        <is>
          <t>varsity tickets</t>
        </is>
      </c>
      <c r="D102" s="192" t="inlineStr">
        <is>
          <t>2026-05-21</t>
        </is>
      </c>
      <c r="E102" s="192" t="inlineStr">
        <is>
          <t>—</t>
        </is>
      </c>
      <c r="F102" s="192" t="inlineStr">
        <is>
          <t>Harish Bhat</t>
        </is>
      </c>
      <c r="G102" s="192" t="inlineStr">
        <is>
          <t>Online</t>
        </is>
      </c>
      <c r="H102" s="192" t="inlineStr">
        <is>
          <t>varsity tickets</t>
        </is>
      </c>
      <c r="I102" s="193" t="n">
        <v>0.25</v>
      </c>
    </row>
    <row r="103" ht="15.75" customHeight="1" s="156">
      <c r="A103" s="192" t="inlineStr">
        <is>
          <t>May 2026</t>
        </is>
      </c>
      <c r="B103" s="192" t="inlineStr">
        <is>
          <t>Other</t>
        </is>
      </c>
      <c r="C103" s="192" t="inlineStr">
        <is>
          <t>varsity tickets</t>
        </is>
      </c>
      <c r="D103" s="192" t="inlineStr">
        <is>
          <t>2026-05-22</t>
        </is>
      </c>
      <c r="E103" s="192" t="inlineStr">
        <is>
          <t>—</t>
        </is>
      </c>
      <c r="F103" s="192" t="inlineStr">
        <is>
          <t>Harish Bhat</t>
        </is>
      </c>
      <c r="G103" s="192" t="inlineStr">
        <is>
          <t>Online</t>
        </is>
      </c>
      <c r="H103" s="192" t="inlineStr">
        <is>
          <t>varsity tickets</t>
        </is>
      </c>
      <c r="I103" s="193" t="n">
        <v>0.25</v>
      </c>
    </row>
    <row r="104" ht="15.75" customHeight="1" s="156">
      <c r="A104" s="192" t="inlineStr">
        <is>
          <t>May 2026</t>
        </is>
      </c>
      <c r="B104" s="192" t="inlineStr">
        <is>
          <t>Other</t>
        </is>
      </c>
      <c r="C104" s="192" t="inlineStr">
        <is>
          <t>varsity tickets</t>
        </is>
      </c>
      <c r="D104" s="192" t="inlineStr">
        <is>
          <t>2026-05-27</t>
        </is>
      </c>
      <c r="E104" s="192" t="inlineStr">
        <is>
          <t>—</t>
        </is>
      </c>
      <c r="F104" s="192" t="inlineStr">
        <is>
          <t>Harish Bhat</t>
        </is>
      </c>
      <c r="G104" s="192" t="inlineStr">
        <is>
          <t>Online</t>
        </is>
      </c>
      <c r="H104" s="192" t="inlineStr">
        <is>
          <t>varsity tickets</t>
        </is>
      </c>
      <c r="I104" s="193" t="n">
        <v>0.25</v>
      </c>
    </row>
    <row r="105" ht="15.75" customHeight="1" s="156">
      <c r="A105" s="192" t="inlineStr">
        <is>
          <t>May 2026</t>
        </is>
      </c>
      <c r="B105" s="192" t="inlineStr">
        <is>
          <t>Assessment</t>
        </is>
      </c>
      <c r="C105" s="192" t="inlineStr">
        <is>
          <t>Review on  mockcall</t>
        </is>
      </c>
      <c r="D105" s="192" t="inlineStr">
        <is>
          <t>2026-05-11</t>
        </is>
      </c>
      <c r="E105" s="192" t="inlineStr">
        <is>
          <t>—</t>
        </is>
      </c>
      <c r="F105" s="192" t="inlineStr">
        <is>
          <t>Harish Bhat</t>
        </is>
      </c>
      <c r="G105" s="192" t="inlineStr">
        <is>
          <t>Online</t>
        </is>
      </c>
      <c r="H105" s="192" t="inlineStr">
        <is>
          <t>Review on  mockcall</t>
        </is>
      </c>
      <c r="I105" s="193" t="n">
        <v>3</v>
      </c>
    </row>
    <row r="106" ht="15.75" customHeight="1" s="156">
      <c r="A106" s="192" t="inlineStr">
        <is>
          <t>May 2026</t>
        </is>
      </c>
      <c r="B106" s="192" t="inlineStr">
        <is>
          <t>Support Training</t>
        </is>
      </c>
      <c r="C106" s="192" t="inlineStr">
        <is>
          <t>Review on mockcall ·  Harish</t>
        </is>
      </c>
      <c r="D106" s="192" t="inlineStr">
        <is>
          <t>2026-05-14</t>
        </is>
      </c>
      <c r="E106" s="192" t="inlineStr">
        <is>
          <t>—</t>
        </is>
      </c>
      <c r="F106" s="192" t="inlineStr">
        <is>
          <t>Harish Bhat</t>
        </is>
      </c>
      <c r="G106" s="192" t="inlineStr">
        <is>
          <t>Online</t>
        </is>
      </c>
      <c r="H106" s="192" t="inlineStr">
        <is>
          <t>Review on mockcall ·  Harish</t>
        </is>
      </c>
      <c r="I106" s="193" t="n">
        <v>2</v>
      </c>
    </row>
    <row r="107" ht="15.75" customHeight="1" s="156">
      <c r="A107" s="192" t="inlineStr">
        <is>
          <t>May 2026</t>
        </is>
      </c>
      <c r="B107" s="192" t="inlineStr">
        <is>
          <t>Other</t>
        </is>
      </c>
      <c r="C107" s="192" t="inlineStr">
        <is>
          <t>Preperation for Session on Primary and Secondary transfer of securities and SOPs of Abusive calls</t>
        </is>
      </c>
      <c r="D107" s="192" t="inlineStr">
        <is>
          <t>2026-05-18</t>
        </is>
      </c>
      <c r="E107" s="192" t="inlineStr">
        <is>
          <t>—</t>
        </is>
      </c>
      <c r="F107" s="192" t="inlineStr">
        <is>
          <t>Harish Bhat</t>
        </is>
      </c>
      <c r="G107" s="192" t="inlineStr">
        <is>
          <t>Online</t>
        </is>
      </c>
      <c r="H107" s="192" t="inlineStr">
        <is>
          <t>Preperation for Session on Primary and Secondary transfer of securities and SOPs of Abusive calls</t>
        </is>
      </c>
      <c r="I107" s="193" t="n">
        <v>4</v>
      </c>
    </row>
    <row r="108" ht="15.75" customHeight="1" s="156">
      <c r="A108" s="192" t="inlineStr">
        <is>
          <t>May 2026</t>
        </is>
      </c>
      <c r="B108" s="192" t="inlineStr">
        <is>
          <t>Other</t>
        </is>
      </c>
      <c r="C108" s="192" t="inlineStr">
        <is>
          <t>lms tool testing</t>
        </is>
      </c>
      <c r="D108" s="192" t="inlineStr">
        <is>
          <t>2026-05-27</t>
        </is>
      </c>
      <c r="E108" s="192" t="inlineStr">
        <is>
          <t>—</t>
        </is>
      </c>
      <c r="F108" s="192" t="inlineStr">
        <is>
          <t>Harish Bhat</t>
        </is>
      </c>
      <c r="G108" s="192" t="inlineStr">
        <is>
          <t>Online</t>
        </is>
      </c>
      <c r="H108" s="192" t="inlineStr">
        <is>
          <t>lms tool testing</t>
        </is>
      </c>
      <c r="I108" s="193" t="n">
        <v>5</v>
      </c>
    </row>
    <row r="109" ht="15.75" customHeight="1" s="156">
      <c r="A109" s="194" t="inlineStr">
        <is>
          <t>May 2026</t>
        </is>
      </c>
      <c r="B109" s="194" t="inlineStr">
        <is>
          <t>Other</t>
        </is>
      </c>
      <c r="C109" s="194" t="inlineStr">
        <is>
          <t>Managers training discussion &amp; PPT</t>
        </is>
      </c>
      <c r="D109" s="194" t="inlineStr">
        <is>
          <t>2026-05-13</t>
        </is>
      </c>
      <c r="E109" s="194" t="inlineStr">
        <is>
          <t>—</t>
        </is>
      </c>
      <c r="F109" s="194" t="inlineStr">
        <is>
          <t>Harish Bhat</t>
        </is>
      </c>
      <c r="G109" s="194" t="inlineStr">
        <is>
          <t>Offline</t>
        </is>
      </c>
      <c r="H109" s="194" t="inlineStr">
        <is>
          <t>Managers training discussion &amp; PPT</t>
        </is>
      </c>
      <c r="I109" s="195" t="n">
        <v>2</v>
      </c>
    </row>
    <row r="110" ht="15.75" customHeight="1" s="156">
      <c r="A110" s="194" t="inlineStr">
        <is>
          <t>May 2026</t>
        </is>
      </c>
      <c r="B110" s="194" t="inlineStr">
        <is>
          <t>Other</t>
        </is>
      </c>
      <c r="C110" s="194" t="inlineStr">
        <is>
          <t>Managers training discussion &amp; PPT</t>
        </is>
      </c>
      <c r="D110" s="194" t="inlineStr">
        <is>
          <t>2026-05-12</t>
        </is>
      </c>
      <c r="E110" s="194" t="inlineStr">
        <is>
          <t>—</t>
        </is>
      </c>
      <c r="F110" s="194" t="inlineStr">
        <is>
          <t>Harish Bhat</t>
        </is>
      </c>
      <c r="G110" s="194" t="inlineStr">
        <is>
          <t>Offline</t>
        </is>
      </c>
      <c r="H110" s="194" t="inlineStr">
        <is>
          <t>Managers training discussion &amp; PPT</t>
        </is>
      </c>
      <c r="I110" s="195" t="n">
        <v>3</v>
      </c>
    </row>
    <row r="111" ht="15.75" customHeight="1" s="156">
      <c r="A111" s="194" t="inlineStr">
        <is>
          <t>May 2026</t>
        </is>
      </c>
      <c r="B111" s="194" t="inlineStr">
        <is>
          <t>Other</t>
        </is>
      </c>
      <c r="C111" s="194" t="inlineStr">
        <is>
          <t>Managers training discussion &amp; PPT  &amp; tool integration</t>
        </is>
      </c>
      <c r="D111" s="194" t="inlineStr">
        <is>
          <t>2026-05-14</t>
        </is>
      </c>
      <c r="E111" s="194" t="inlineStr">
        <is>
          <t>—</t>
        </is>
      </c>
      <c r="F111" s="194" t="inlineStr">
        <is>
          <t>Harish Bhat</t>
        </is>
      </c>
      <c r="G111" s="194" t="inlineStr">
        <is>
          <t>Offline</t>
        </is>
      </c>
      <c r="H111" s="194" t="inlineStr">
        <is>
          <t>Managers training discussion &amp; PPT  &amp; tool integration</t>
        </is>
      </c>
      <c r="I111" s="195" t="n">
        <v>2</v>
      </c>
    </row>
    <row r="112" ht="15.75" customHeight="1" s="156">
      <c r="A112" s="192" t="inlineStr">
        <is>
          <t>May 2026</t>
        </is>
      </c>
      <c r="B112" s="192" t="inlineStr">
        <is>
          <t>Support Training</t>
        </is>
      </c>
      <c r="C112" s="192" t="inlineStr">
        <is>
          <t>Review on Pick &amp; Speak &amp; mockcall</t>
        </is>
      </c>
      <c r="D112" s="192" t="inlineStr">
        <is>
          <t>2026-05-07</t>
        </is>
      </c>
      <c r="E112" s="192" t="inlineStr">
        <is>
          <t>—</t>
        </is>
      </c>
      <c r="F112" s="192" t="inlineStr">
        <is>
          <t>Girish A</t>
        </is>
      </c>
      <c r="G112" s="192" t="inlineStr">
        <is>
          <t>Online</t>
        </is>
      </c>
      <c r="H112" s="192" t="inlineStr">
        <is>
          <t>Review on Pick &amp; Speak &amp; mockcall</t>
        </is>
      </c>
      <c r="I112" s="193" t="n">
        <v>2</v>
      </c>
    </row>
    <row r="113" ht="15.75" customHeight="1" s="156">
      <c r="A113" s="192" t="inlineStr">
        <is>
          <t>May 2026</t>
        </is>
      </c>
      <c r="B113" s="192" t="inlineStr">
        <is>
          <t>Support Training</t>
        </is>
      </c>
      <c r="C113" s="192" t="inlineStr">
        <is>
          <t>Review on Pick &amp; Speak &amp; mockcall</t>
        </is>
      </c>
      <c r="D113" s="192" t="inlineStr">
        <is>
          <t>2026-05-08</t>
        </is>
      </c>
      <c r="E113" s="192" t="inlineStr">
        <is>
          <t>—</t>
        </is>
      </c>
      <c r="F113" s="192" t="inlineStr">
        <is>
          <t>Girish A</t>
        </is>
      </c>
      <c r="G113" s="192" t="inlineStr">
        <is>
          <t>Online</t>
        </is>
      </c>
      <c r="H113" s="192" t="inlineStr">
        <is>
          <t>Review on Pick &amp; Speak &amp; mockcall</t>
        </is>
      </c>
      <c r="I113" s="193" t="n">
        <v>2</v>
      </c>
    </row>
    <row r="114" ht="15.75" customHeight="1" s="156">
      <c r="A114" s="192" t="inlineStr">
        <is>
          <t>May 2026</t>
        </is>
      </c>
      <c r="B114" s="192" t="inlineStr">
        <is>
          <t>Support Training</t>
        </is>
      </c>
      <c r="C114" s="192" t="inlineStr">
        <is>
          <t>Review on Pick &amp; Speak &amp; mockcall</t>
        </is>
      </c>
      <c r="D114" s="192" t="inlineStr">
        <is>
          <t>2026-05-11</t>
        </is>
      </c>
      <c r="E114" s="192" t="inlineStr">
        <is>
          <t>—</t>
        </is>
      </c>
      <c r="F114" s="192" t="inlineStr">
        <is>
          <t>Girish A</t>
        </is>
      </c>
      <c r="G114" s="192" t="inlineStr">
        <is>
          <t>Online</t>
        </is>
      </c>
      <c r="H114" s="192" t="inlineStr">
        <is>
          <t>Review on Pick &amp; Speak &amp; mockcall</t>
        </is>
      </c>
      <c r="I114" s="193" t="n">
        <v>3</v>
      </c>
    </row>
    <row r="115" ht="15.75" customHeight="1" s="156">
      <c r="A115" s="192" t="inlineStr">
        <is>
          <t>May 2026</t>
        </is>
      </c>
      <c r="B115" s="192" t="inlineStr">
        <is>
          <t>Support Training</t>
        </is>
      </c>
      <c r="C115" s="192" t="inlineStr">
        <is>
          <t>Communicate 360- Anish's team · proctoring</t>
        </is>
      </c>
      <c r="D115" s="192" t="inlineStr">
        <is>
          <t>2026-05-14</t>
        </is>
      </c>
      <c r="E115" s="192" t="inlineStr">
        <is>
          <t>—</t>
        </is>
      </c>
      <c r="F115" s="192" t="inlineStr">
        <is>
          <t>Girish A</t>
        </is>
      </c>
      <c r="G115" s="192" t="inlineStr">
        <is>
          <t>Online</t>
        </is>
      </c>
      <c r="H115" s="192" t="inlineStr">
        <is>
          <t>Communicate 360- Anish's team · proctoring</t>
        </is>
      </c>
      <c r="I115" s="193" t="n">
        <v>3</v>
      </c>
    </row>
    <row r="116" ht="15.75" customHeight="1" s="156">
      <c r="A116" s="192" t="inlineStr">
        <is>
          <t>May 2026</t>
        </is>
      </c>
      <c r="B116" s="192" t="inlineStr">
        <is>
          <t>Support Training</t>
        </is>
      </c>
      <c r="C116" s="192" t="inlineStr">
        <is>
          <t>Trainer Dashboard</t>
        </is>
      </c>
      <c r="D116" s="192" t="inlineStr">
        <is>
          <t>2026-05-15</t>
        </is>
      </c>
      <c r="E116" s="192" t="inlineStr">
        <is>
          <t>—</t>
        </is>
      </c>
      <c r="F116" s="192" t="inlineStr">
        <is>
          <t>Girish A</t>
        </is>
      </c>
      <c r="G116" s="192" t="inlineStr">
        <is>
          <t>Online</t>
        </is>
      </c>
      <c r="H116" s="192" t="inlineStr">
        <is>
          <t>Trainer Dashboard</t>
        </is>
      </c>
      <c r="I116" s="193" t="n">
        <v>3</v>
      </c>
    </row>
    <row r="117" ht="15.75" customHeight="1" s="156">
      <c r="A117" s="192" t="inlineStr">
        <is>
          <t>May 2026</t>
        </is>
      </c>
      <c r="B117" s="192" t="inlineStr">
        <is>
          <t>Support Training</t>
        </is>
      </c>
      <c r="C117" s="192" t="inlineStr">
        <is>
          <t>Trainer Dahboard</t>
        </is>
      </c>
      <c r="D117" s="192" t="inlineStr">
        <is>
          <t>2026-05-18</t>
        </is>
      </c>
      <c r="E117" s="192" t="inlineStr">
        <is>
          <t>—</t>
        </is>
      </c>
      <c r="F117" s="192" t="inlineStr">
        <is>
          <t>Girish A</t>
        </is>
      </c>
      <c r="G117" s="192" t="inlineStr">
        <is>
          <t>Online</t>
        </is>
      </c>
      <c r="H117" s="192" t="inlineStr">
        <is>
          <t>Trainer Dahboard</t>
        </is>
      </c>
      <c r="I117" s="193" t="n">
        <v>3</v>
      </c>
    </row>
    <row r="118" ht="15.75" customHeight="1" s="156">
      <c r="A118" s="192" t="inlineStr">
        <is>
          <t>May 2026</t>
        </is>
      </c>
      <c r="B118" s="192" t="inlineStr">
        <is>
          <t>Support Training</t>
        </is>
      </c>
      <c r="C118" s="192" t="inlineStr">
        <is>
          <t>Session on Primary and Secondary transfer of securities and SOPs of Abusive calls</t>
        </is>
      </c>
      <c r="D118" s="192" t="inlineStr">
        <is>
          <t>2026-05-20</t>
        </is>
      </c>
      <c r="E118" s="192" t="inlineStr">
        <is>
          <t>—</t>
        </is>
      </c>
      <c r="F118" s="192" t="inlineStr">
        <is>
          <t>Girish A</t>
        </is>
      </c>
      <c r="G118" s="192" t="inlineStr">
        <is>
          <t>Online</t>
        </is>
      </c>
      <c r="H118" s="192" t="inlineStr">
        <is>
          <t>Session on Primary and Secondary transfer of securities and SOPs of Abusive calls</t>
        </is>
      </c>
      <c r="I118" s="193" t="n">
        <v>1</v>
      </c>
    </row>
    <row r="119" ht="15.75" customHeight="1" s="156">
      <c r="A119" s="192" t="inlineStr">
        <is>
          <t>May 2026</t>
        </is>
      </c>
      <c r="B119" s="192" t="inlineStr">
        <is>
          <t>Support Training</t>
        </is>
      </c>
      <c r="C119" s="192" t="inlineStr">
        <is>
          <t>Trainer Dashboard</t>
        </is>
      </c>
      <c r="D119" s="192" t="inlineStr">
        <is>
          <t>2026-05-26</t>
        </is>
      </c>
      <c r="E119" s="192" t="inlineStr">
        <is>
          <t>—</t>
        </is>
      </c>
      <c r="F119" s="192" t="inlineStr">
        <is>
          <t>Girish A</t>
        </is>
      </c>
      <c r="G119" s="192" t="inlineStr">
        <is>
          <t>Online</t>
        </is>
      </c>
      <c r="H119" s="192" t="inlineStr">
        <is>
          <t>Trainer Dashboard</t>
        </is>
      </c>
      <c r="I119" s="193" t="n">
        <v>3</v>
      </c>
    </row>
    <row r="120" ht="15.75" customHeight="1" s="156">
      <c r="A120" s="194" t="inlineStr">
        <is>
          <t>May 2026</t>
        </is>
      </c>
      <c r="B120" s="194" t="inlineStr">
        <is>
          <t>Support Training</t>
        </is>
      </c>
      <c r="C120" s="194" t="inlineStr">
        <is>
          <t>Communicate 360- Anish's team · proctoring</t>
        </is>
      </c>
      <c r="D120" s="194" t="inlineStr">
        <is>
          <t>2026-05-11</t>
        </is>
      </c>
      <c r="E120" s="194" t="inlineStr">
        <is>
          <t>—</t>
        </is>
      </c>
      <c r="F120" s="194" t="inlineStr">
        <is>
          <t>Girish A</t>
        </is>
      </c>
      <c r="G120" s="194" t="inlineStr">
        <is>
          <t>Offline</t>
        </is>
      </c>
      <c r="H120" s="194" t="inlineStr">
        <is>
          <t>Communicate 360- Anish's team · proctoring</t>
        </is>
      </c>
      <c r="I120" s="195" t="n">
        <v>3</v>
      </c>
    </row>
    <row r="121" ht="15.75" customHeight="1" s="156">
      <c r="A121" s="194" t="inlineStr">
        <is>
          <t>May 2026</t>
        </is>
      </c>
      <c r="B121" s="194" t="inlineStr">
        <is>
          <t>Support Training</t>
        </is>
      </c>
      <c r="C121" s="194" t="inlineStr">
        <is>
          <t>Communicate 360- Anish's team · proctoring</t>
        </is>
      </c>
      <c r="D121" s="194" t="inlineStr">
        <is>
          <t>2026-05-12</t>
        </is>
      </c>
      <c r="E121" s="194" t="inlineStr">
        <is>
          <t>—</t>
        </is>
      </c>
      <c r="F121" s="194" t="inlineStr">
        <is>
          <t>Girish A</t>
        </is>
      </c>
      <c r="G121" s="194" t="inlineStr">
        <is>
          <t>Offline</t>
        </is>
      </c>
      <c r="H121" s="194" t="inlineStr">
        <is>
          <t>Communicate 360- Anish's team · proctoring</t>
        </is>
      </c>
      <c r="I121" s="195" t="n">
        <v>1.5</v>
      </c>
    </row>
    <row r="122" ht="15.75" customHeight="1" s="156">
      <c r="A122" s="194" t="inlineStr">
        <is>
          <t>May 2026</t>
        </is>
      </c>
      <c r="B122" s="194" t="inlineStr">
        <is>
          <t>Support Training</t>
        </is>
      </c>
      <c r="C122" s="194" t="inlineStr">
        <is>
          <t>Managers training discussion</t>
        </is>
      </c>
      <c r="D122" s="194" t="inlineStr">
        <is>
          <t>2026-05-12</t>
        </is>
      </c>
      <c r="E122" s="194" t="inlineStr">
        <is>
          <t>—</t>
        </is>
      </c>
      <c r="F122" s="194" t="inlineStr">
        <is>
          <t>Girish A</t>
        </is>
      </c>
      <c r="G122" s="194" t="inlineStr">
        <is>
          <t>Offline</t>
        </is>
      </c>
      <c r="H122" s="194" t="inlineStr">
        <is>
          <t>Managers training discussion</t>
        </is>
      </c>
      <c r="I122" s="195" t="n">
        <v>3</v>
      </c>
    </row>
    <row r="123" ht="15.75" customHeight="1" s="156">
      <c r="A123" s="194" t="inlineStr">
        <is>
          <t>May 2026</t>
        </is>
      </c>
      <c r="B123" s="194" t="inlineStr">
        <is>
          <t>Support Training</t>
        </is>
      </c>
      <c r="C123" s="194" t="inlineStr">
        <is>
          <t>Communicate 360- Anish's team · proctoring ·</t>
        </is>
      </c>
      <c r="D123" s="194" t="inlineStr">
        <is>
          <t>2026-05-13</t>
        </is>
      </c>
      <c r="E123" s="194" t="inlineStr">
        <is>
          <t>—</t>
        </is>
      </c>
      <c r="F123" s="194" t="inlineStr">
        <is>
          <t>Girish A</t>
        </is>
      </c>
      <c r="G123" s="194" t="inlineStr">
        <is>
          <t>Offline</t>
        </is>
      </c>
      <c r="H123" s="194" t="inlineStr">
        <is>
          <t>Communicate 360- Anish's team · proctoring ·</t>
        </is>
      </c>
      <c r="I123" s="195" t="n">
        <v>3</v>
      </c>
    </row>
    <row r="124" ht="15.75" customHeight="1" s="156">
      <c r="A124" s="194" t="inlineStr">
        <is>
          <t>May 2026</t>
        </is>
      </c>
      <c r="B124" s="194" t="inlineStr">
        <is>
          <t>Support Training</t>
        </is>
      </c>
      <c r="C124" s="194" t="inlineStr">
        <is>
          <t>Managers training discussion</t>
        </is>
      </c>
      <c r="D124" s="194" t="inlineStr">
        <is>
          <t>2026-05-13</t>
        </is>
      </c>
      <c r="E124" s="194" t="inlineStr">
        <is>
          <t>—</t>
        </is>
      </c>
      <c r="F124" s="194" t="inlineStr">
        <is>
          <t>Girish A</t>
        </is>
      </c>
      <c r="G124" s="194" t="inlineStr">
        <is>
          <t>Offline</t>
        </is>
      </c>
      <c r="H124" s="194" t="inlineStr">
        <is>
          <t>Managers training discussion</t>
        </is>
      </c>
      <c r="I124" s="195" t="n">
        <v>2</v>
      </c>
    </row>
    <row r="125" ht="15.75" customHeight="1" s="156">
      <c r="A125" s="194" t="inlineStr">
        <is>
          <t>May 2026</t>
        </is>
      </c>
      <c r="B125" s="194" t="inlineStr">
        <is>
          <t>Support Training</t>
        </is>
      </c>
      <c r="C125" s="194" t="inlineStr">
        <is>
          <t>Manager Assessments integration</t>
        </is>
      </c>
      <c r="D125" s="194" t="inlineStr">
        <is>
          <t>2026-05-14</t>
        </is>
      </c>
      <c r="E125" s="194" t="inlineStr">
        <is>
          <t>—</t>
        </is>
      </c>
      <c r="F125" s="194" t="inlineStr">
        <is>
          <t>Girish A</t>
        </is>
      </c>
      <c r="G125" s="194" t="inlineStr">
        <is>
          <t>Offline</t>
        </is>
      </c>
      <c r="H125" s="194" t="inlineStr">
        <is>
          <t>Manager Assessments integration</t>
        </is>
      </c>
      <c r="I125" s="195" t="n">
        <v>3</v>
      </c>
    </row>
    <row r="126" ht="15.75" customHeight="1" s="156">
      <c r="A126" s="192" t="inlineStr">
        <is>
          <t>May 2026</t>
        </is>
      </c>
      <c r="B126" s="192" t="inlineStr">
        <is>
          <t>Support Training</t>
        </is>
      </c>
      <c r="C126" s="192" t="inlineStr">
        <is>
          <t>Preperation for Session on Primary and Secondary transfer of securities and SOPs of Abusive calls</t>
        </is>
      </c>
      <c r="D126" s="192" t="inlineStr">
        <is>
          <t>2026-05-18</t>
        </is>
      </c>
      <c r="E126" s="192" t="inlineStr">
        <is>
          <t>—</t>
        </is>
      </c>
      <c r="F126" s="192" t="inlineStr">
        <is>
          <t>Girish A</t>
        </is>
      </c>
      <c r="G126" s="192" t="inlineStr">
        <is>
          <t>Online</t>
        </is>
      </c>
      <c r="H126" s="192" t="inlineStr">
        <is>
          <t>Preperation for Session on Primary and Secondary transfer of securities and SOPs of Abusive calls</t>
        </is>
      </c>
      <c r="I126" s="193" t="n">
        <v>4</v>
      </c>
    </row>
    <row r="127" ht="15.75" customHeight="1" s="156">
      <c r="A127" s="192" t="inlineStr">
        <is>
          <t>May 2026</t>
        </is>
      </c>
      <c r="B127" s="192" t="inlineStr">
        <is>
          <t>Support Training</t>
        </is>
      </c>
      <c r="C127" s="192" t="inlineStr">
        <is>
          <t>Preperation for Session on Primary and Secondary transfer of securities and SOPs of Abusive calls</t>
        </is>
      </c>
      <c r="D127" s="192" t="inlineStr">
        <is>
          <t>2026-05-19</t>
        </is>
      </c>
      <c r="E127" s="192" t="inlineStr">
        <is>
          <t>—</t>
        </is>
      </c>
      <c r="F127" s="192" t="inlineStr">
        <is>
          <t>Girish A</t>
        </is>
      </c>
      <c r="G127" s="192" t="inlineStr">
        <is>
          <t>Online</t>
        </is>
      </c>
      <c r="H127" s="192" t="inlineStr">
        <is>
          <t>Preperation for Session on Primary and Secondary transfer of securities and SOPs of Abusive calls</t>
        </is>
      </c>
      <c r="I127" s="193" t="n">
        <v>6</v>
      </c>
    </row>
    <row r="128" ht="15.75" customHeight="1" s="156">
      <c r="A128" s="192" t="inlineStr">
        <is>
          <t>May 2026</t>
        </is>
      </c>
      <c r="B128" s="192" t="inlineStr">
        <is>
          <t>Other</t>
        </is>
      </c>
      <c r="C128" s="192" t="inlineStr">
        <is>
          <t>NRI training preparations</t>
        </is>
      </c>
      <c r="D128" s="192" t="inlineStr">
        <is>
          <t>2026-05-26</t>
        </is>
      </c>
      <c r="E128" s="192" t="inlineStr">
        <is>
          <t>—</t>
        </is>
      </c>
      <c r="F128" s="192" t="inlineStr">
        <is>
          <t>Girish A</t>
        </is>
      </c>
      <c r="G128" s="192" t="inlineStr">
        <is>
          <t>Online</t>
        </is>
      </c>
      <c r="H128" s="192" t="inlineStr">
        <is>
          <t>NRI training preparations</t>
        </is>
      </c>
      <c r="I128" s="193" t="n">
        <v>2</v>
      </c>
    </row>
    <row r="129" ht="15.75" customHeight="1" s="156">
      <c r="A129" s="194" t="inlineStr">
        <is>
          <t>May 2026</t>
        </is>
      </c>
      <c r="B129" s="194" t="inlineStr">
        <is>
          <t>Other</t>
        </is>
      </c>
      <c r="C129" s="194" t="inlineStr">
        <is>
          <t>NRI training preparations</t>
        </is>
      </c>
      <c r="D129" s="194" t="inlineStr">
        <is>
          <t>2026-05-27</t>
        </is>
      </c>
      <c r="E129" s="194" t="inlineStr">
        <is>
          <t>—</t>
        </is>
      </c>
      <c r="F129" s="194" t="inlineStr">
        <is>
          <t>Girish A</t>
        </is>
      </c>
      <c r="G129" s="194" t="inlineStr">
        <is>
          <t>Offline</t>
        </is>
      </c>
      <c r="H129" s="194" t="inlineStr">
        <is>
          <t>NRI training preparations</t>
        </is>
      </c>
      <c r="I129" s="195" t="n">
        <v>2</v>
      </c>
    </row>
    <row r="130" ht="15.75" customHeight="1" s="156">
      <c r="A130" s="194" t="inlineStr">
        <is>
          <t>May 2026</t>
        </is>
      </c>
      <c r="B130" s="194" t="inlineStr">
        <is>
          <t>Other</t>
        </is>
      </c>
      <c r="C130" s="194" t="inlineStr">
        <is>
          <t>NRI training preparations</t>
        </is>
      </c>
      <c r="D130" s="194" t="inlineStr">
        <is>
          <t>2026-05-29</t>
        </is>
      </c>
      <c r="E130" s="194" t="inlineStr">
        <is>
          <t>—</t>
        </is>
      </c>
      <c r="F130" s="194" t="inlineStr">
        <is>
          <t>Girish A</t>
        </is>
      </c>
      <c r="G130" s="194" t="inlineStr">
        <is>
          <t>Offline</t>
        </is>
      </c>
      <c r="H130" s="194" t="inlineStr">
        <is>
          <t>NRI training preparations</t>
        </is>
      </c>
      <c r="I130" s="195" t="n">
        <v>4</v>
      </c>
    </row>
    <row r="131" ht="15.75" customHeight="1" s="156">
      <c r="A131" s="192" t="inlineStr">
        <is>
          <t>May 2026</t>
        </is>
      </c>
      <c r="B131" s="192" t="inlineStr">
        <is>
          <t>Other</t>
        </is>
      </c>
      <c r="C131" s="192" t="inlineStr">
        <is>
          <t>Anish's team report sending</t>
        </is>
      </c>
      <c r="D131" s="192" t="inlineStr">
        <is>
          <t>2026-05-29</t>
        </is>
      </c>
      <c r="E131" s="192" t="inlineStr">
        <is>
          <t>—</t>
        </is>
      </c>
      <c r="F131" s="192" t="inlineStr">
        <is>
          <t>Harish Bhat</t>
        </is>
      </c>
      <c r="G131" s="192" t="inlineStr">
        <is>
          <t>Online</t>
        </is>
      </c>
      <c r="H131" s="192" t="inlineStr">
        <is>
          <t>Anish's team report sending</t>
        </is>
      </c>
      <c r="I131" s="193" t="n">
        <v>2</v>
      </c>
    </row>
    <row r="132" ht="15.75" customHeight="1" s="156">
      <c r="A132" s="192" t="inlineStr">
        <is>
          <t>May 2026</t>
        </is>
      </c>
      <c r="B132" s="192" t="inlineStr">
        <is>
          <t>Support Training</t>
        </is>
      </c>
      <c r="C132" s="192" t="inlineStr">
        <is>
          <t>Recruitment paper preparation</t>
        </is>
      </c>
      <c r="D132" s="192" t="inlineStr">
        <is>
          <t>2026-05-21</t>
        </is>
      </c>
      <c r="E132" s="192" t="inlineStr">
        <is>
          <t>—</t>
        </is>
      </c>
      <c r="F132" s="192" t="inlineStr">
        <is>
          <t>Harish Bhat</t>
        </is>
      </c>
      <c r="G132" s="192" t="inlineStr">
        <is>
          <t>Online</t>
        </is>
      </c>
      <c r="H132" s="192" t="inlineStr">
        <is>
          <t>Recruitment paper preparation</t>
        </is>
      </c>
      <c r="I132" s="193" t="n">
        <v>2</v>
      </c>
    </row>
    <row r="133" ht="15.75" customHeight="1" s="156">
      <c r="A133" s="194" t="inlineStr">
        <is>
          <t>May 2026</t>
        </is>
      </c>
      <c r="B133" s="194" t="inlineStr">
        <is>
          <t>Support Training</t>
        </is>
      </c>
      <c r="C133" s="194" t="inlineStr">
        <is>
          <t>Communicate 360- Anish's team proctoring</t>
        </is>
      </c>
      <c r="D133" s="194" t="inlineStr">
        <is>
          <t>2026-05-06</t>
        </is>
      </c>
      <c r="E133" s="194" t="inlineStr">
        <is>
          <t>—</t>
        </is>
      </c>
      <c r="F133" s="194" t="inlineStr">
        <is>
          <t>Girish A</t>
        </is>
      </c>
      <c r="G133" s="194" t="inlineStr">
        <is>
          <t>Offline</t>
        </is>
      </c>
      <c r="H133" s="194" t="inlineStr">
        <is>
          <t>Communicate 360- Anish's team proctoring</t>
        </is>
      </c>
      <c r="I133" s="195" t="n">
        <v>2</v>
      </c>
    </row>
    <row r="134" ht="15.75" customHeight="1" s="156">
      <c r="A134" s="194" t="inlineStr">
        <is>
          <t>May 2026</t>
        </is>
      </c>
      <c r="B134" s="194" t="inlineStr">
        <is>
          <t>Support Training</t>
        </is>
      </c>
      <c r="C134" s="194" t="inlineStr">
        <is>
          <t>Communicate 360- Anish's team</t>
        </is>
      </c>
      <c r="D134" s="194" t="inlineStr">
        <is>
          <t>2026-05-05</t>
        </is>
      </c>
      <c r="E134" s="194" t="inlineStr">
        <is>
          <t>—</t>
        </is>
      </c>
      <c r="F134" s="194" t="inlineStr">
        <is>
          <t>Girish A</t>
        </is>
      </c>
      <c r="G134" s="194" t="inlineStr">
        <is>
          <t>Offline</t>
        </is>
      </c>
      <c r="H134" s="194" t="inlineStr">
        <is>
          <t>Communicate 360- Anish's team</t>
        </is>
      </c>
      <c r="I134" s="195" t="n">
        <v>2</v>
      </c>
    </row>
    <row r="135" ht="15.75" customHeight="1" s="156">
      <c r="A135" s="192" t="inlineStr">
        <is>
          <t>May 2026</t>
        </is>
      </c>
      <c r="B135" s="192" t="inlineStr">
        <is>
          <t>Other</t>
        </is>
      </c>
      <c r="C135" s="192" t="inlineStr">
        <is>
          <t>NRI training preparations</t>
        </is>
      </c>
      <c r="D135" s="192" t="inlineStr">
        <is>
          <t>2026-05-25</t>
        </is>
      </c>
      <c r="E135" s="192" t="inlineStr">
        <is>
          <t>—</t>
        </is>
      </c>
      <c r="F135" s="192" t="inlineStr">
        <is>
          <t>Girish A</t>
        </is>
      </c>
      <c r="G135" s="192" t="inlineStr">
        <is>
          <t>Online</t>
        </is>
      </c>
      <c r="H135" s="192" t="inlineStr">
        <is>
          <t>NRI training preparations</t>
        </is>
      </c>
      <c r="I135" s="193" t="n">
        <v>2</v>
      </c>
    </row>
    <row r="136" ht="15.75" customHeight="1" s="156">
      <c r="A136" s="194" t="inlineStr">
        <is>
          <t>May 2026</t>
        </is>
      </c>
      <c r="B136" s="194" t="inlineStr">
        <is>
          <t>Support Training</t>
        </is>
      </c>
      <c r="C136" s="194" t="inlineStr">
        <is>
          <t>Communicate 360- Anish's team · proctoring</t>
        </is>
      </c>
      <c r="D136" s="194" t="inlineStr">
        <is>
          <t>2026-05-04</t>
        </is>
      </c>
      <c r="E136" s="194" t="inlineStr">
        <is>
          <t>—</t>
        </is>
      </c>
      <c r="F136" s="194" t="inlineStr">
        <is>
          <t>Girish A</t>
        </is>
      </c>
      <c r="G136" s="194" t="inlineStr">
        <is>
          <t>Offline</t>
        </is>
      </c>
      <c r="H136" s="194" t="inlineStr">
        <is>
          <t>Communicate 360- Anish's team · proctoring</t>
        </is>
      </c>
      <c r="I136" s="195" t="n">
        <v>3</v>
      </c>
    </row>
    <row r="137" ht="15.75" customHeight="1" s="156">
      <c r="A137" s="194" t="inlineStr">
        <is>
          <t>May 2026</t>
        </is>
      </c>
      <c r="B137" s="194" t="inlineStr">
        <is>
          <t>Support Training</t>
        </is>
      </c>
      <c r="C137" s="194" t="inlineStr">
        <is>
          <t>Communicate 360- Renu's team</t>
        </is>
      </c>
      <c r="D137" s="194" t="inlineStr">
        <is>
          <t>2026-05-11</t>
        </is>
      </c>
      <c r="E137" s="194" t="inlineStr">
        <is>
          <t>—</t>
        </is>
      </c>
      <c r="F137" s="194" t="inlineStr">
        <is>
          <t>Freeda Reshma Dsouza</t>
        </is>
      </c>
      <c r="G137" s="194" t="inlineStr">
        <is>
          <t>Offline</t>
        </is>
      </c>
      <c r="H137" s="194" t="inlineStr">
        <is>
          <t>Communicate 360- Renu's team</t>
        </is>
      </c>
      <c r="I137" s="195" t="n">
        <v>5</v>
      </c>
    </row>
    <row r="138" ht="15.75" customHeight="1" s="156">
      <c r="A138" s="194" t="inlineStr">
        <is>
          <t>May 2026</t>
        </is>
      </c>
      <c r="B138" s="194" t="inlineStr">
        <is>
          <t>Support Training</t>
        </is>
      </c>
      <c r="C138" s="194" t="inlineStr">
        <is>
          <t>Communicate 360- Renu's team</t>
        </is>
      </c>
      <c r="D138" s="194" t="inlineStr">
        <is>
          <t>2026-05-12</t>
        </is>
      </c>
      <c r="E138" s="194" t="inlineStr">
        <is>
          <t>—</t>
        </is>
      </c>
      <c r="F138" s="194" t="inlineStr">
        <is>
          <t>Freeda Reshma Dsouza</t>
        </is>
      </c>
      <c r="G138" s="194" t="inlineStr">
        <is>
          <t>Offline</t>
        </is>
      </c>
      <c r="H138" s="194" t="inlineStr">
        <is>
          <t>Communicate 360- Renu's team</t>
        </is>
      </c>
      <c r="I138" s="195" t="n">
        <v>5</v>
      </c>
    </row>
    <row r="139" ht="15.75" customHeight="1" s="156">
      <c r="A139" s="194" t="inlineStr">
        <is>
          <t>May 2026</t>
        </is>
      </c>
      <c r="B139" s="194" t="inlineStr">
        <is>
          <t>Support Training</t>
        </is>
      </c>
      <c r="C139" s="194" t="inlineStr">
        <is>
          <t>Communicate 360- Renu's team</t>
        </is>
      </c>
      <c r="D139" s="194" t="inlineStr">
        <is>
          <t>2026-05-14</t>
        </is>
      </c>
      <c r="E139" s="194" t="inlineStr">
        <is>
          <t>—</t>
        </is>
      </c>
      <c r="F139" s="194" t="inlineStr">
        <is>
          <t>Freeda Reshma Dsouza</t>
        </is>
      </c>
      <c r="G139" s="194" t="inlineStr">
        <is>
          <t>Offline</t>
        </is>
      </c>
      <c r="H139" s="194" t="inlineStr">
        <is>
          <t>Communicate 360- Renu's team</t>
        </is>
      </c>
      <c r="I139" s="195" t="n">
        <v>5</v>
      </c>
    </row>
    <row r="140" ht="15.75" customHeight="1" s="156">
      <c r="A140" s="194" t="inlineStr">
        <is>
          <t>May 2026</t>
        </is>
      </c>
      <c r="B140" s="194" t="inlineStr">
        <is>
          <t>Support Training</t>
        </is>
      </c>
      <c r="C140" s="194" t="inlineStr">
        <is>
          <t>Communicate 360- Renu's team</t>
        </is>
      </c>
      <c r="D140" s="194" t="inlineStr">
        <is>
          <t>2026-05-13</t>
        </is>
      </c>
      <c r="E140" s="194" t="inlineStr">
        <is>
          <t>—</t>
        </is>
      </c>
      <c r="F140" s="194" t="inlineStr">
        <is>
          <t>Freeda Reshma Dsouza</t>
        </is>
      </c>
      <c r="G140" s="194" t="inlineStr">
        <is>
          <t>Offline</t>
        </is>
      </c>
      <c r="H140" s="194" t="inlineStr">
        <is>
          <t>Communicate 360- Renu's team</t>
        </is>
      </c>
      <c r="I140" s="195" t="n">
        <v>5</v>
      </c>
    </row>
    <row r="141" ht="15.75" customHeight="1" s="156">
      <c r="A141" s="192" t="inlineStr">
        <is>
          <t>May 2026</t>
        </is>
      </c>
      <c r="B141" s="192" t="inlineStr">
        <is>
          <t>Other</t>
        </is>
      </c>
      <c r="C141" s="192" t="inlineStr">
        <is>
          <t>Review on Pick &amp; Speak</t>
        </is>
      </c>
      <c r="D141" s="192" t="inlineStr">
        <is>
          <t>2026-05-27</t>
        </is>
      </c>
      <c r="E141" s="192" t="inlineStr">
        <is>
          <t>—</t>
        </is>
      </c>
      <c r="F141" s="192" t="inlineStr">
        <is>
          <t>Freeda Reshma Dsouza</t>
        </is>
      </c>
      <c r="G141" s="192" t="inlineStr">
        <is>
          <t>Online</t>
        </is>
      </c>
      <c r="H141" s="192" t="inlineStr">
        <is>
          <t>Review on Pick &amp; Speak</t>
        </is>
      </c>
      <c r="I141" s="193" t="n">
        <v>3</v>
      </c>
    </row>
    <row r="142" ht="15.75" customHeight="1" s="156">
      <c r="A142" s="192" t="inlineStr">
        <is>
          <t>June 2026</t>
        </is>
      </c>
      <c r="B142" s="192" t="inlineStr">
        <is>
          <t>Other</t>
        </is>
      </c>
      <c r="C142" s="192" t="inlineStr">
        <is>
          <t>QOD preparations</t>
        </is>
      </c>
      <c r="D142" s="192" t="inlineStr">
        <is>
          <t>2026-06-01</t>
        </is>
      </c>
      <c r="E142" s="192" t="inlineStr">
        <is>
          <t>—</t>
        </is>
      </c>
      <c r="F142" s="192" t="inlineStr">
        <is>
          <t>Girish A</t>
        </is>
      </c>
      <c r="G142" s="192" t="inlineStr">
        <is>
          <t>Online</t>
        </is>
      </c>
      <c r="H142" s="192" t="inlineStr">
        <is>
          <t>QOD preparations</t>
        </is>
      </c>
      <c r="I142" s="193" t="n">
        <v>1</v>
      </c>
    </row>
    <row r="143" ht="15.75" customHeight="1" s="156">
      <c r="A143" s="194" t="inlineStr">
        <is>
          <t>June 2026</t>
        </is>
      </c>
      <c r="B143" s="194" t="inlineStr">
        <is>
          <t>Support Training</t>
        </is>
      </c>
      <c r="C143" s="194" t="inlineStr">
        <is>
          <t>Communicate 360- Renu's team</t>
        </is>
      </c>
      <c r="D143" s="194" t="inlineStr">
        <is>
          <t>2026-06-02</t>
        </is>
      </c>
      <c r="E143" s="194" t="inlineStr">
        <is>
          <t>—</t>
        </is>
      </c>
      <c r="F143" s="194" t="inlineStr">
        <is>
          <t>Freeda Reshma Dsouza</t>
        </is>
      </c>
      <c r="G143" s="194" t="inlineStr">
        <is>
          <t>Offline</t>
        </is>
      </c>
      <c r="H143" s="194" t="inlineStr">
        <is>
          <t>Communicate 360- Renu's team</t>
        </is>
      </c>
      <c r="I143" s="195" t="n">
        <v>5</v>
      </c>
    </row>
    <row r="144" ht="15.75" customHeight="1" s="156">
      <c r="A144" s="194" t="inlineStr">
        <is>
          <t>June 2026</t>
        </is>
      </c>
      <c r="B144" s="194" t="inlineStr">
        <is>
          <t>Support Training</t>
        </is>
      </c>
      <c r="C144" s="194" t="inlineStr">
        <is>
          <t>Communicate 360- Renu's team</t>
        </is>
      </c>
      <c r="D144" s="194" t="inlineStr">
        <is>
          <t>2026-06-03</t>
        </is>
      </c>
      <c r="E144" s="194" t="inlineStr">
        <is>
          <t>—</t>
        </is>
      </c>
      <c r="F144" s="194" t="inlineStr">
        <is>
          <t>Freeda Reshma Dsouza</t>
        </is>
      </c>
      <c r="G144" s="194" t="inlineStr">
        <is>
          <t>Offline</t>
        </is>
      </c>
      <c r="H144" s="194" t="inlineStr">
        <is>
          <t>Communicate 360- Renu's team</t>
        </is>
      </c>
      <c r="I144" s="195" t="n">
        <v>5</v>
      </c>
    </row>
    <row r="145" ht="15.75" customHeight="1" s="156">
      <c r="A145" s="194" t="inlineStr">
        <is>
          <t>June 2026</t>
        </is>
      </c>
      <c r="B145" s="194" t="inlineStr">
        <is>
          <t>Support Training</t>
        </is>
      </c>
      <c r="C145" s="194" t="inlineStr">
        <is>
          <t>Communicate 360- Renu's team</t>
        </is>
      </c>
      <c r="D145" s="194" t="inlineStr">
        <is>
          <t>2026-06-04</t>
        </is>
      </c>
      <c r="E145" s="194" t="inlineStr">
        <is>
          <t>—</t>
        </is>
      </c>
      <c r="F145" s="194" t="inlineStr">
        <is>
          <t>Freeda Reshma Dsouza</t>
        </is>
      </c>
      <c r="G145" s="194" t="inlineStr">
        <is>
          <t>Offline</t>
        </is>
      </c>
      <c r="H145" s="194" t="inlineStr">
        <is>
          <t>Communicate 360- Renu's team</t>
        </is>
      </c>
      <c r="I145" s="195" t="n">
        <v>5</v>
      </c>
    </row>
    <row r="146" ht="15.75" customHeight="1" s="156">
      <c r="A146" s="192" t="inlineStr">
        <is>
          <t>June 2026</t>
        </is>
      </c>
      <c r="B146" s="192" t="inlineStr">
        <is>
          <t>Support Training</t>
        </is>
      </c>
      <c r="C146" s="192" t="inlineStr">
        <is>
          <t>Review on Pick &amp; Speak</t>
        </is>
      </c>
      <c r="D146" s="192" t="inlineStr">
        <is>
          <t>2026-06-05</t>
        </is>
      </c>
      <c r="E146" s="192" t="inlineStr">
        <is>
          <t>—</t>
        </is>
      </c>
      <c r="F146" s="192" t="inlineStr">
        <is>
          <t>Freeda Reshma Dsouza</t>
        </is>
      </c>
      <c r="G146" s="192" t="inlineStr">
        <is>
          <t>Online</t>
        </is>
      </c>
      <c r="H146" s="192" t="inlineStr">
        <is>
          <t>Review on Pick &amp; Speak</t>
        </is>
      </c>
      <c r="I146" s="193" t="n">
        <v>5</v>
      </c>
    </row>
    <row r="147" ht="15.75" customHeight="1" s="156">
      <c r="A147" s="192" t="inlineStr">
        <is>
          <t>June 2026</t>
        </is>
      </c>
      <c r="B147" s="192" t="inlineStr">
        <is>
          <t>Support Training</t>
        </is>
      </c>
      <c r="C147" s="192" t="inlineStr">
        <is>
          <t>Communicate 360- Renu's team</t>
        </is>
      </c>
      <c r="D147" s="192" t="inlineStr">
        <is>
          <t>2026-06-01</t>
        </is>
      </c>
      <c r="E147" s="192" t="inlineStr">
        <is>
          <t>—</t>
        </is>
      </c>
      <c r="F147" s="192" t="inlineStr">
        <is>
          <t>Freeda Reshma Dsouza</t>
        </is>
      </c>
      <c r="G147" s="192" t="inlineStr">
        <is>
          <t>Online</t>
        </is>
      </c>
      <c r="H147" s="192" t="inlineStr">
        <is>
          <t>Communicate 360- Renu's team</t>
        </is>
      </c>
      <c r="I147" s="193" t="n">
        <v>5</v>
      </c>
    </row>
    <row r="148" ht="15.75" customHeight="1" s="156">
      <c r="A148" s="192" t="inlineStr">
        <is>
          <t>June 2026</t>
        </is>
      </c>
      <c r="B148" s="192" t="inlineStr">
        <is>
          <t>Support Training</t>
        </is>
      </c>
      <c r="C148" s="192" t="inlineStr">
        <is>
          <t>Communicate 360- Renu's team</t>
        </is>
      </c>
      <c r="D148" s="192" t="inlineStr">
        <is>
          <t>2026-06-08</t>
        </is>
      </c>
      <c r="E148" s="192" t="inlineStr">
        <is>
          <t>—</t>
        </is>
      </c>
      <c r="F148" s="192" t="inlineStr">
        <is>
          <t>Freeda Reshma Dsouza</t>
        </is>
      </c>
      <c r="G148" s="192" t="inlineStr">
        <is>
          <t>Online</t>
        </is>
      </c>
      <c r="H148" s="192" t="inlineStr">
        <is>
          <t>Communicate 360- Renu's team</t>
        </is>
      </c>
      <c r="I148" s="193" t="n">
        <v>2.5</v>
      </c>
    </row>
    <row r="149" ht="15.75" customHeight="1" s="156">
      <c r="A149" s="192" t="inlineStr">
        <is>
          <t>June 2026</t>
        </is>
      </c>
      <c r="B149" s="192" t="inlineStr">
        <is>
          <t>Other</t>
        </is>
      </c>
      <c r="C149" s="192" t="inlineStr">
        <is>
          <t>Communicate 360- Renu's team proctoring</t>
        </is>
      </c>
      <c r="D149" s="192" t="inlineStr">
        <is>
          <t>2026-06-01</t>
        </is>
      </c>
      <c r="E149" s="192" t="inlineStr">
        <is>
          <t>—</t>
        </is>
      </c>
      <c r="F149" s="192" t="inlineStr">
        <is>
          <t>Girish A</t>
        </is>
      </c>
      <c r="G149" s="192" t="inlineStr">
        <is>
          <t>Online</t>
        </is>
      </c>
      <c r="H149" s="192" t="inlineStr">
        <is>
          <t>Communicate 360- Renu's team proctoring</t>
        </is>
      </c>
      <c r="I149" s="193" t="n">
        <v>2</v>
      </c>
    </row>
    <row r="150" ht="15.75" customHeight="1" s="156">
      <c r="A150" s="194" t="inlineStr">
        <is>
          <t>June 2026</t>
        </is>
      </c>
      <c r="B150" s="194" t="inlineStr">
        <is>
          <t>Support Training</t>
        </is>
      </c>
      <c r="C150" s="194" t="inlineStr">
        <is>
          <t>NRI Sales and Acop Training session</t>
        </is>
      </c>
      <c r="D150" s="194" t="inlineStr">
        <is>
          <t>2026-06-02</t>
        </is>
      </c>
      <c r="E150" s="194" t="inlineStr">
        <is>
          <t>—</t>
        </is>
      </c>
      <c r="F150" s="194" t="inlineStr">
        <is>
          <t>Girish A</t>
        </is>
      </c>
      <c r="G150" s="194" t="inlineStr">
        <is>
          <t>Offline</t>
        </is>
      </c>
      <c r="H150" s="194" t="inlineStr">
        <is>
          <t>NRI Sales and Acop Training session</t>
        </is>
      </c>
      <c r="I150" s="195" t="n">
        <v>6.5</v>
      </c>
    </row>
    <row r="151" ht="15.75" customHeight="1" s="156">
      <c r="A151" s="194" t="inlineStr">
        <is>
          <t>June 2026</t>
        </is>
      </c>
      <c r="B151" s="194" t="inlineStr">
        <is>
          <t>Support Training</t>
        </is>
      </c>
      <c r="C151" s="194" t="inlineStr">
        <is>
          <t>NRI Sales and Acop Training session</t>
        </is>
      </c>
      <c r="D151" s="194" t="inlineStr">
        <is>
          <t>2026-06-03</t>
        </is>
      </c>
      <c r="E151" s="194" t="inlineStr">
        <is>
          <t>—</t>
        </is>
      </c>
      <c r="F151" s="194" t="inlineStr">
        <is>
          <t>Girish A</t>
        </is>
      </c>
      <c r="G151" s="194" t="inlineStr">
        <is>
          <t>Offline</t>
        </is>
      </c>
      <c r="H151" s="194" t="inlineStr">
        <is>
          <t>NRI Sales and Acop Training session</t>
        </is>
      </c>
      <c r="I151" s="195" t="n">
        <v>6.5</v>
      </c>
    </row>
    <row r="152" ht="15.75" customHeight="1" s="156">
      <c r="A152" s="194" t="inlineStr">
        <is>
          <t>June 2026</t>
        </is>
      </c>
      <c r="B152" s="194" t="inlineStr">
        <is>
          <t>Support Training</t>
        </is>
      </c>
      <c r="C152" s="194" t="inlineStr">
        <is>
          <t>NRI Sales and Acop Training session</t>
        </is>
      </c>
      <c r="D152" s="194" t="inlineStr">
        <is>
          <t>2026-06-04</t>
        </is>
      </c>
      <c r="E152" s="194" t="inlineStr">
        <is>
          <t>—</t>
        </is>
      </c>
      <c r="F152" s="194" t="inlineStr">
        <is>
          <t>Girish A</t>
        </is>
      </c>
      <c r="G152" s="194" t="inlineStr">
        <is>
          <t>Offline</t>
        </is>
      </c>
      <c r="H152" s="194" t="inlineStr">
        <is>
          <t>NRI Sales and Acop Training session</t>
        </is>
      </c>
      <c r="I152" s="195" t="n">
        <v>6.5</v>
      </c>
    </row>
    <row r="153" ht="15.75" customHeight="1" s="156">
      <c r="A153" s="194" t="inlineStr">
        <is>
          <t>June 2026</t>
        </is>
      </c>
      <c r="B153" s="194" t="inlineStr">
        <is>
          <t>Support Training</t>
        </is>
      </c>
      <c r="C153" s="194" t="inlineStr">
        <is>
          <t>NRI Sales and Acop Training session</t>
        </is>
      </c>
      <c r="D153" s="194" t="inlineStr">
        <is>
          <t>2026-06-05</t>
        </is>
      </c>
      <c r="E153" s="194" t="inlineStr">
        <is>
          <t>—</t>
        </is>
      </c>
      <c r="F153" s="194" t="inlineStr">
        <is>
          <t>Girish A</t>
        </is>
      </c>
      <c r="G153" s="194" t="inlineStr">
        <is>
          <t>Offline</t>
        </is>
      </c>
      <c r="H153" s="194" t="inlineStr">
        <is>
          <t>NRI Sales and Acop Training session</t>
        </is>
      </c>
      <c r="I153" s="195" t="n">
        <v>6.5</v>
      </c>
    </row>
    <row r="154" ht="15.75" customHeight="1" s="156">
      <c r="A154" s="194" t="inlineStr">
        <is>
          <t>June 2026</t>
        </is>
      </c>
      <c r="B154" s="194" t="inlineStr">
        <is>
          <t>Support Training</t>
        </is>
      </c>
      <c r="C154" s="194" t="inlineStr">
        <is>
          <t>NRI Sales and Acop Training session</t>
        </is>
      </c>
      <c r="D154" s="194" t="inlineStr">
        <is>
          <t>2026-06-08</t>
        </is>
      </c>
      <c r="E154" s="194" t="inlineStr">
        <is>
          <t>—</t>
        </is>
      </c>
      <c r="F154" s="194" t="inlineStr">
        <is>
          <t>Girish A</t>
        </is>
      </c>
      <c r="G154" s="194" t="inlineStr">
        <is>
          <t>Offline</t>
        </is>
      </c>
      <c r="H154" s="194" t="inlineStr">
        <is>
          <t>NRI Sales and Acop Training session</t>
        </is>
      </c>
      <c r="I154" s="195" t="n">
        <v>6.5</v>
      </c>
    </row>
    <row r="155" ht="15.75" customHeight="1" s="156">
      <c r="A155" s="194" t="inlineStr">
        <is>
          <t>June 2026</t>
        </is>
      </c>
      <c r="B155" s="194" t="inlineStr">
        <is>
          <t>Support Training</t>
        </is>
      </c>
      <c r="C155" s="194" t="inlineStr">
        <is>
          <t>NRI Sales and Acop Training session</t>
        </is>
      </c>
      <c r="D155" s="194" t="inlineStr">
        <is>
          <t>2026-06-09</t>
        </is>
      </c>
      <c r="E155" s="194" t="inlineStr">
        <is>
          <t>—</t>
        </is>
      </c>
      <c r="F155" s="194" t="inlineStr">
        <is>
          <t>Girish A</t>
        </is>
      </c>
      <c r="G155" s="194" t="inlineStr">
        <is>
          <t>Offline</t>
        </is>
      </c>
      <c r="H155" s="194" t="inlineStr">
        <is>
          <t>NRI Sales and Acop Training session</t>
        </is>
      </c>
      <c r="I155" s="195" t="n">
        <v>6.5</v>
      </c>
    </row>
    <row r="156" ht="15.75" customHeight="1" s="156">
      <c r="A156" s="194" t="inlineStr">
        <is>
          <t>June 2026</t>
        </is>
      </c>
      <c r="B156" s="194" t="inlineStr">
        <is>
          <t>Support Training</t>
        </is>
      </c>
      <c r="C156" s="194" t="inlineStr">
        <is>
          <t>Communicate 360- Renu's team</t>
        </is>
      </c>
      <c r="D156" s="194" t="inlineStr">
        <is>
          <t>2026-06-09</t>
        </is>
      </c>
      <c r="E156" s="194" t="inlineStr">
        <is>
          <t>—</t>
        </is>
      </c>
      <c r="F156" s="194" t="inlineStr">
        <is>
          <t>Freeda Reshma Dsouza</t>
        </is>
      </c>
      <c r="G156" s="194" t="inlineStr">
        <is>
          <t>Offline</t>
        </is>
      </c>
      <c r="H156" s="194" t="inlineStr">
        <is>
          <t>Communicate 360- Renu's team</t>
        </is>
      </c>
      <c r="I156" s="195" t="n">
        <v>2.25</v>
      </c>
    </row>
    <row r="157" ht="15.75" customHeight="1" s="156">
      <c r="A157" s="194" t="inlineStr">
        <is>
          <t>June 2026</t>
        </is>
      </c>
      <c r="B157" s="194" t="inlineStr">
        <is>
          <t>Support Training</t>
        </is>
      </c>
      <c r="C157" s="194" t="inlineStr">
        <is>
          <t>Communicate 360- Renu's team</t>
        </is>
      </c>
      <c r="D157" s="194" t="inlineStr">
        <is>
          <t>2026-06-10</t>
        </is>
      </c>
      <c r="E157" s="194" t="inlineStr">
        <is>
          <t>—</t>
        </is>
      </c>
      <c r="F157" s="194" t="inlineStr">
        <is>
          <t>Freeda Reshma Dsouza</t>
        </is>
      </c>
      <c r="G157" s="194" t="inlineStr">
        <is>
          <t>Offline</t>
        </is>
      </c>
      <c r="H157" s="194" t="inlineStr">
        <is>
          <t>Communicate 360- Renu's team</t>
        </is>
      </c>
      <c r="I157" s="195" t="n">
        <v>2.25</v>
      </c>
    </row>
    <row r="158" ht="15.75" customHeight="1" s="156">
      <c r="A158" s="194" t="inlineStr">
        <is>
          <t>June 2026</t>
        </is>
      </c>
      <c r="B158" s="194" t="inlineStr">
        <is>
          <t>Assessment</t>
        </is>
      </c>
      <c r="C158" s="194" t="inlineStr">
        <is>
          <t>Review on Pick &amp; Speak &amp; mockcall - Renu team</t>
        </is>
      </c>
      <c r="D158" s="194" t="inlineStr">
        <is>
          <t>2026-06-10</t>
        </is>
      </c>
      <c r="E158" s="194" t="inlineStr">
        <is>
          <t>—</t>
        </is>
      </c>
      <c r="F158" s="194" t="inlineStr">
        <is>
          <t>Harish Bhat</t>
        </is>
      </c>
      <c r="G158" s="194" t="inlineStr">
        <is>
          <t>Offline</t>
        </is>
      </c>
      <c r="H158" s="194" t="inlineStr">
        <is>
          <t>Review on Pick &amp; Speak &amp; mockcall - Renu team</t>
        </is>
      </c>
      <c r="I158" s="195" t="n">
        <v>4</v>
      </c>
    </row>
    <row r="159" ht="15.75" customHeight="1" s="156">
      <c r="A159" s="194" t="inlineStr">
        <is>
          <t>June 2026</t>
        </is>
      </c>
      <c r="B159" s="194" t="inlineStr">
        <is>
          <t>Assessment</t>
        </is>
      </c>
      <c r="C159" s="194" t="inlineStr">
        <is>
          <t>Review on Pick &amp; Speak &amp; mockcall - Renu Team</t>
        </is>
      </c>
      <c r="D159" s="194" t="inlineStr">
        <is>
          <t>2026-06-08</t>
        </is>
      </c>
      <c r="E159" s="194" t="inlineStr">
        <is>
          <t>—</t>
        </is>
      </c>
      <c r="F159" s="194" t="inlineStr">
        <is>
          <t>Harish Bhat</t>
        </is>
      </c>
      <c r="G159" s="194" t="inlineStr">
        <is>
          <t>Offline</t>
        </is>
      </c>
      <c r="H159" s="194" t="inlineStr">
        <is>
          <t>Review on Pick &amp; Speak &amp; mockcall - Renu Team</t>
        </is>
      </c>
      <c r="I159" s="195" t="n">
        <v>4</v>
      </c>
    </row>
    <row r="160" ht="15.75" customHeight="1" s="156">
      <c r="A160" s="194" t="inlineStr">
        <is>
          <t>June 2026</t>
        </is>
      </c>
      <c r="B160" s="194" t="inlineStr">
        <is>
          <t>Assessment</t>
        </is>
      </c>
      <c r="C160" s="194" t="inlineStr">
        <is>
          <t>Review on Pick &amp; Speak &amp; mockcall Renu team</t>
        </is>
      </c>
      <c r="D160" s="194" t="inlineStr">
        <is>
          <t>2026-06-09</t>
        </is>
      </c>
      <c r="E160" s="194" t="inlineStr">
        <is>
          <t>—</t>
        </is>
      </c>
      <c r="F160" s="194" t="inlineStr">
        <is>
          <t>Harish Bhat</t>
        </is>
      </c>
      <c r="G160" s="194" t="inlineStr">
        <is>
          <t>Offline</t>
        </is>
      </c>
      <c r="H160" s="194" t="inlineStr">
        <is>
          <t>Review on Pick &amp; Speak &amp; mockcall Renu team</t>
        </is>
      </c>
      <c r="I160" s="195" t="n">
        <v>4</v>
      </c>
    </row>
    <row r="161" ht="15.75" customHeight="1" s="156">
      <c r="A161" s="194" t="inlineStr">
        <is>
          <t>June 2026</t>
        </is>
      </c>
      <c r="B161" s="194" t="inlineStr">
        <is>
          <t>Other</t>
        </is>
      </c>
      <c r="C161" s="194" t="inlineStr">
        <is>
          <t>Review on Pick &amp; Speak &amp; mockcall - Renu team</t>
        </is>
      </c>
      <c r="D161" s="194" t="inlineStr">
        <is>
          <t>2026-06-11</t>
        </is>
      </c>
      <c r="E161" s="194" t="inlineStr">
        <is>
          <t>—</t>
        </is>
      </c>
      <c r="F161" s="194" t="inlineStr">
        <is>
          <t>Harish Bhat</t>
        </is>
      </c>
      <c r="G161" s="194" t="inlineStr">
        <is>
          <t>Offline</t>
        </is>
      </c>
      <c r="H161" s="194" t="inlineStr">
        <is>
          <t>Review on Pick &amp; Speak &amp; mockcall - Renu team</t>
        </is>
      </c>
      <c r="I161" s="195" t="n">
        <v>3</v>
      </c>
    </row>
    <row r="162" ht="15.75" customHeight="1" s="156">
      <c r="A162" s="192" t="inlineStr">
        <is>
          <t>June 2026</t>
        </is>
      </c>
      <c r="B162" s="192" t="inlineStr">
        <is>
          <t>Other</t>
        </is>
      </c>
      <c r="C162" s="192" t="inlineStr">
        <is>
          <t>Candidates Interview</t>
        </is>
      </c>
      <c r="D162" s="192" t="inlineStr">
        <is>
          <t>2026-06-10</t>
        </is>
      </c>
      <c r="E162" s="192" t="inlineStr">
        <is>
          <t>—</t>
        </is>
      </c>
      <c r="F162" s="192" t="inlineStr">
        <is>
          <t>Harish Bhat</t>
        </is>
      </c>
      <c r="G162" s="192" t="inlineStr">
        <is>
          <t>Online</t>
        </is>
      </c>
      <c r="H162" s="192" t="inlineStr">
        <is>
          <t>Candidates Interview</t>
        </is>
      </c>
      <c r="I162" s="193" t="n">
        <v>0.75</v>
      </c>
    </row>
    <row r="163" ht="15.75" customHeight="1" s="156">
      <c r="A163" s="192" t="inlineStr">
        <is>
          <t>June 2026</t>
        </is>
      </c>
      <c r="B163" s="192" t="inlineStr">
        <is>
          <t>Other</t>
        </is>
      </c>
      <c r="C163" s="192" t="inlineStr">
        <is>
          <t>Candidates Interview</t>
        </is>
      </c>
      <c r="D163" s="192" t="inlineStr">
        <is>
          <t>2026-06-10</t>
        </is>
      </c>
      <c r="E163" s="192" t="inlineStr">
        <is>
          <t>—</t>
        </is>
      </c>
      <c r="F163" s="192" t="inlineStr">
        <is>
          <t>Harish Bhat</t>
        </is>
      </c>
      <c r="G163" s="192" t="inlineStr">
        <is>
          <t>Online</t>
        </is>
      </c>
      <c r="H163" s="192" t="inlineStr">
        <is>
          <t>Candidates Interview</t>
        </is>
      </c>
      <c r="I163" s="193" t="n">
        <v>1</v>
      </c>
    </row>
    <row r="164" ht="15.75" customHeight="1" s="156">
      <c r="A164" s="192" t="inlineStr">
        <is>
          <t>June 2026</t>
        </is>
      </c>
      <c r="B164" s="192" t="inlineStr">
        <is>
          <t>Other</t>
        </is>
      </c>
      <c r="C164" s="192" t="inlineStr">
        <is>
          <t>varsity tickets</t>
        </is>
      </c>
      <c r="D164" s="192" t="inlineStr">
        <is>
          <t>2026-06-08</t>
        </is>
      </c>
      <c r="E164" s="192" t="inlineStr">
        <is>
          <t>—</t>
        </is>
      </c>
      <c r="F164" s="192" t="inlineStr">
        <is>
          <t>Harish Bhat</t>
        </is>
      </c>
      <c r="G164" s="192" t="inlineStr">
        <is>
          <t>Online</t>
        </is>
      </c>
      <c r="H164" s="192" t="inlineStr">
        <is>
          <t>varsity tickets</t>
        </is>
      </c>
      <c r="I164" s="193" t="n">
        <v>0.25</v>
      </c>
    </row>
    <row r="165" ht="15.75" customHeight="1" s="156">
      <c r="A165" s="192" t="inlineStr">
        <is>
          <t>June 2026</t>
        </is>
      </c>
      <c r="B165" s="192" t="inlineStr">
        <is>
          <t>Other</t>
        </is>
      </c>
      <c r="C165" s="192" t="inlineStr">
        <is>
          <t>varsity tickets</t>
        </is>
      </c>
      <c r="D165" s="192" t="inlineStr">
        <is>
          <t>2026-06-09</t>
        </is>
      </c>
      <c r="E165" s="192" t="inlineStr">
        <is>
          <t>—</t>
        </is>
      </c>
      <c r="F165" s="192" t="inlineStr">
        <is>
          <t>Harish Bhat</t>
        </is>
      </c>
      <c r="G165" s="192" t="inlineStr">
        <is>
          <t>Online</t>
        </is>
      </c>
      <c r="H165" s="192" t="inlineStr">
        <is>
          <t>varsity tickets</t>
        </is>
      </c>
      <c r="I165" s="193" t="n">
        <v>0.25</v>
      </c>
    </row>
    <row r="166" ht="15.75" customHeight="1" s="156">
      <c r="A166" s="192" t="inlineStr">
        <is>
          <t>June 2026</t>
        </is>
      </c>
      <c r="B166" s="192" t="inlineStr">
        <is>
          <t>Support Training</t>
        </is>
      </c>
      <c r="C166" s="192" t="inlineStr">
        <is>
          <t>varsity tickets</t>
        </is>
      </c>
      <c r="D166" s="192" t="inlineStr">
        <is>
          <t>2026-06-10</t>
        </is>
      </c>
      <c r="E166" s="192" t="inlineStr">
        <is>
          <t>—</t>
        </is>
      </c>
      <c r="F166" s="192" t="inlineStr">
        <is>
          <t>Harish Bhat</t>
        </is>
      </c>
      <c r="G166" s="192" t="inlineStr">
        <is>
          <t>Online</t>
        </is>
      </c>
      <c r="H166" s="192" t="inlineStr">
        <is>
          <t>varsity tickets</t>
        </is>
      </c>
      <c r="I166" s="193" t="n">
        <v>0.25</v>
      </c>
    </row>
    <row r="167" ht="15.75" customHeight="1" s="156">
      <c r="A167" s="194" t="inlineStr">
        <is>
          <t>June 2026</t>
        </is>
      </c>
      <c r="B167" s="194" t="inlineStr">
        <is>
          <t>Support Training</t>
        </is>
      </c>
      <c r="C167" s="194" t="inlineStr">
        <is>
          <t>Communicate 360- Renu's team</t>
        </is>
      </c>
      <c r="D167" s="194" t="inlineStr">
        <is>
          <t>2026-06-11</t>
        </is>
      </c>
      <c r="E167" s="194" t="inlineStr">
        <is>
          <t>—</t>
        </is>
      </c>
      <c r="F167" s="194" t="inlineStr">
        <is>
          <t>Freeda Reshma Dsouza</t>
        </is>
      </c>
      <c r="G167" s="194" t="inlineStr">
        <is>
          <t>Offline</t>
        </is>
      </c>
      <c r="H167" s="194" t="inlineStr">
        <is>
          <t>Communicate 360- Renu's team</t>
        </is>
      </c>
      <c r="I167" s="195" t="n">
        <v>2.5</v>
      </c>
    </row>
    <row r="168" ht="15.75" customHeight="1" s="156">
      <c r="A168" s="192" t="inlineStr">
        <is>
          <t>June 2026</t>
        </is>
      </c>
      <c r="B168" s="192" t="inlineStr">
        <is>
          <t>Support Training</t>
        </is>
      </c>
      <c r="C168" s="192" t="inlineStr">
        <is>
          <t>Review on Pick &amp; Speak -</t>
        </is>
      </c>
      <c r="D168" s="192" t="inlineStr">
        <is>
          <t>2026-06-11</t>
        </is>
      </c>
      <c r="E168" s="192" t="inlineStr">
        <is>
          <t>—</t>
        </is>
      </c>
      <c r="F168" s="192" t="inlineStr">
        <is>
          <t>Freeda Reshma Dsouza</t>
        </is>
      </c>
      <c r="G168" s="192" t="inlineStr">
        <is>
          <t>Online</t>
        </is>
      </c>
      <c r="H168" s="192" t="inlineStr">
        <is>
          <t>Review on Pick &amp; Speak -</t>
        </is>
      </c>
      <c r="I168" s="193" t="n">
        <v>1.25</v>
      </c>
    </row>
    <row r="169" ht="15.75" customHeight="1" s="156">
      <c r="A169" s="192" t="inlineStr">
        <is>
          <t>June 2026</t>
        </is>
      </c>
      <c r="B169" s="192" t="inlineStr">
        <is>
          <t>Other</t>
        </is>
      </c>
      <c r="C169" s="192" t="inlineStr">
        <is>
          <t>Candidates Interview</t>
        </is>
      </c>
      <c r="D169" s="192" t="inlineStr">
        <is>
          <t>2026-06-12</t>
        </is>
      </c>
      <c r="E169" s="192" t="inlineStr">
        <is>
          <t>—</t>
        </is>
      </c>
      <c r="F169" s="192" t="inlineStr">
        <is>
          <t>Harish Bhat</t>
        </is>
      </c>
      <c r="G169" s="192" t="inlineStr">
        <is>
          <t>Online</t>
        </is>
      </c>
      <c r="H169" s="192" t="inlineStr">
        <is>
          <t>Candidates Interview</t>
        </is>
      </c>
      <c r="I169" s="193" t="n">
        <v>1</v>
      </c>
    </row>
    <row r="170" ht="15.75" customHeight="1" s="156">
      <c r="A170" s="192" t="inlineStr">
        <is>
          <t>June 2026</t>
        </is>
      </c>
      <c r="B170" s="192" t="inlineStr">
        <is>
          <t>Other</t>
        </is>
      </c>
      <c r="C170" s="192" t="inlineStr">
        <is>
          <t>varsity tickets</t>
        </is>
      </c>
      <c r="D170" s="192" t="inlineStr">
        <is>
          <t>2026-06-11</t>
        </is>
      </c>
      <c r="E170" s="192" t="inlineStr">
        <is>
          <t>—</t>
        </is>
      </c>
      <c r="F170" s="192" t="inlineStr">
        <is>
          <t>Harish Bhat</t>
        </is>
      </c>
      <c r="G170" s="192" t="inlineStr">
        <is>
          <t>Online</t>
        </is>
      </c>
      <c r="H170" s="192" t="inlineStr">
        <is>
          <t>varsity tickets</t>
        </is>
      </c>
      <c r="I170" s="193" t="n">
        <v>0.25</v>
      </c>
    </row>
    <row r="171" ht="15.75" customHeight="1" s="156">
      <c r="A171" s="192" t="inlineStr">
        <is>
          <t>June 2026</t>
        </is>
      </c>
      <c r="B171" s="192" t="inlineStr">
        <is>
          <t>Other</t>
        </is>
      </c>
      <c r="C171" s="192" t="inlineStr">
        <is>
          <t>Candidates Interview</t>
        </is>
      </c>
      <c r="D171" s="192" t="inlineStr">
        <is>
          <t>2026-06-11</t>
        </is>
      </c>
      <c r="E171" s="192" t="inlineStr">
        <is>
          <t>—</t>
        </is>
      </c>
      <c r="F171" s="192" t="inlineStr">
        <is>
          <t>Harish Bhat</t>
        </is>
      </c>
      <c r="G171" s="192" t="inlineStr">
        <is>
          <t>Online</t>
        </is>
      </c>
      <c r="H171" s="192" t="inlineStr">
        <is>
          <t>Candidates Interview</t>
        </is>
      </c>
      <c r="I171" s="193" t="n">
        <v>1</v>
      </c>
    </row>
    <row r="172" ht="15.75" customHeight="1" s="156">
      <c r="A172" s="192" t="inlineStr">
        <is>
          <t>June 2026</t>
        </is>
      </c>
      <c r="B172" s="192" t="inlineStr">
        <is>
          <t>Other</t>
        </is>
      </c>
      <c r="C172" s="192" t="inlineStr">
        <is>
          <t>Candidates Interview</t>
        </is>
      </c>
      <c r="D172" s="192" t="inlineStr">
        <is>
          <t>2026-06-15</t>
        </is>
      </c>
      <c r="E172" s="192" t="inlineStr">
        <is>
          <t>—</t>
        </is>
      </c>
      <c r="F172" s="192" t="inlineStr">
        <is>
          <t>Harish Bhat</t>
        </is>
      </c>
      <c r="G172" s="192" t="inlineStr">
        <is>
          <t>Online</t>
        </is>
      </c>
      <c r="H172" s="192" t="inlineStr">
        <is>
          <t>Candidates Interview</t>
        </is>
      </c>
      <c r="I172" s="193" t="n">
        <v>1</v>
      </c>
    </row>
    <row r="173" ht="15.75" customHeight="1" s="156">
      <c r="A173" s="192" t="inlineStr">
        <is>
          <t>June 2026</t>
        </is>
      </c>
      <c r="B173" s="192" t="inlineStr">
        <is>
          <t>Other</t>
        </is>
      </c>
      <c r="C173" s="192" t="inlineStr">
        <is>
          <t>Varsity exam schedule</t>
        </is>
      </c>
      <c r="D173" s="192" t="inlineStr">
        <is>
          <t>2026-06-12</t>
        </is>
      </c>
      <c r="E173" s="192" t="inlineStr">
        <is>
          <t>—</t>
        </is>
      </c>
      <c r="F173" s="192" t="inlineStr">
        <is>
          <t>Harish Bhat</t>
        </is>
      </c>
      <c r="G173" s="192" t="inlineStr">
        <is>
          <t>Online</t>
        </is>
      </c>
      <c r="H173" s="192" t="inlineStr">
        <is>
          <t>Varsity exam schedule</t>
        </is>
      </c>
      <c r="I173" s="193" t="n">
        <v>0.5</v>
      </c>
    </row>
    <row r="174" ht="15.75" customHeight="1" s="156">
      <c r="A174" s="192" t="inlineStr">
        <is>
          <t>June 2026</t>
        </is>
      </c>
      <c r="B174" s="192" t="inlineStr">
        <is>
          <t>Assessment</t>
        </is>
      </c>
      <c r="C174" s="192" t="inlineStr">
        <is>
          <t>Review on mockcall - Renu team</t>
        </is>
      </c>
      <c r="D174" s="192" t="inlineStr">
        <is>
          <t>2026-06-12</t>
        </is>
      </c>
      <c r="E174" s="192" t="inlineStr">
        <is>
          <t>—</t>
        </is>
      </c>
      <c r="F174" s="192" t="inlineStr">
        <is>
          <t>Harish Bhat</t>
        </is>
      </c>
      <c r="G174" s="192" t="inlineStr">
        <is>
          <t>Online</t>
        </is>
      </c>
      <c r="H174" s="192" t="inlineStr">
        <is>
          <t>Review on mockcall - Renu team</t>
        </is>
      </c>
      <c r="I174" s="193" t="n">
        <v>4</v>
      </c>
    </row>
    <row r="175" ht="15.75" customHeight="1" s="156">
      <c r="A175" s="192" t="inlineStr">
        <is>
          <t>June 2026</t>
        </is>
      </c>
      <c r="B175" s="192" t="inlineStr">
        <is>
          <t>Assessment</t>
        </is>
      </c>
      <c r="C175" s="192" t="inlineStr">
        <is>
          <t>Managers training  Assesments discussion &amp; Preperation</t>
        </is>
      </c>
      <c r="D175" s="192" t="inlineStr">
        <is>
          <t>2026-06-15</t>
        </is>
      </c>
      <c r="E175" s="192" t="inlineStr">
        <is>
          <t>—</t>
        </is>
      </c>
      <c r="F175" s="192" t="inlineStr">
        <is>
          <t>Harish Bhat</t>
        </is>
      </c>
      <c r="G175" s="192" t="inlineStr">
        <is>
          <t>Online</t>
        </is>
      </c>
      <c r="H175" s="192" t="inlineStr">
        <is>
          <t>Managers training  Assesments discussion &amp; Preperation</t>
        </is>
      </c>
      <c r="I175" s="193" t="n">
        <v>2</v>
      </c>
    </row>
    <row r="176" ht="15.75" customHeight="1" s="156">
      <c r="A176" s="192" t="inlineStr">
        <is>
          <t>June 2026</t>
        </is>
      </c>
      <c r="B176" s="192" t="inlineStr">
        <is>
          <t>Support Training</t>
        </is>
      </c>
      <c r="C176" s="192" t="inlineStr">
        <is>
          <t>Ticket's team mock ticket details preperation</t>
        </is>
      </c>
      <c r="D176" s="192" t="inlineStr">
        <is>
          <t>2026-06-15</t>
        </is>
      </c>
      <c r="E176" s="192" t="inlineStr">
        <is>
          <t>—</t>
        </is>
      </c>
      <c r="F176" s="192" t="inlineStr">
        <is>
          <t>Harish Bhat</t>
        </is>
      </c>
      <c r="G176" s="192" t="inlineStr">
        <is>
          <t>Online</t>
        </is>
      </c>
      <c r="H176" s="192" t="inlineStr">
        <is>
          <t>Ticket's team mock ticket details preperation</t>
        </is>
      </c>
      <c r="I176" s="193" t="n">
        <v>0.5</v>
      </c>
    </row>
    <row r="177" ht="15.75" customHeight="1" s="156">
      <c r="A177" s="192" t="inlineStr">
        <is>
          <t>June 2026</t>
        </is>
      </c>
      <c r="B177" s="192" t="inlineStr">
        <is>
          <t>Assessment</t>
        </is>
      </c>
      <c r="C177" s="192" t="inlineStr">
        <is>
          <t>Review on Pick &amp; Speak &amp; mockcall - Renu team</t>
        </is>
      </c>
      <c r="D177" s="192" t="inlineStr">
        <is>
          <t>2026-06-16</t>
        </is>
      </c>
      <c r="E177" s="192" t="inlineStr">
        <is>
          <t>—</t>
        </is>
      </c>
      <c r="F177" s="192" t="inlineStr">
        <is>
          <t>Harish Bhat</t>
        </is>
      </c>
      <c r="G177" s="192" t="inlineStr">
        <is>
          <t>Online</t>
        </is>
      </c>
      <c r="H177" s="192" t="inlineStr">
        <is>
          <t>Review on Pick &amp; Speak &amp; mockcall - Renu team</t>
        </is>
      </c>
      <c r="I177" s="193" t="n">
        <v>3</v>
      </c>
    </row>
    <row r="178" ht="15.75" customHeight="1" s="156">
      <c r="A178" s="194" t="inlineStr">
        <is>
          <t>June 2026</t>
        </is>
      </c>
      <c r="B178" s="194" t="inlineStr">
        <is>
          <t>Other</t>
        </is>
      </c>
      <c r="C178" s="194" t="inlineStr">
        <is>
          <t>Reports email schedule for Pradeep &amp; Priyanka's team</t>
        </is>
      </c>
      <c r="D178" s="194" t="inlineStr">
        <is>
          <t>2026-06-16</t>
        </is>
      </c>
      <c r="E178" s="194" t="inlineStr">
        <is>
          <t>—</t>
        </is>
      </c>
      <c r="F178" s="194" t="inlineStr">
        <is>
          <t>Harish Bhat</t>
        </is>
      </c>
      <c r="G178" s="194" t="inlineStr">
        <is>
          <t>Offline</t>
        </is>
      </c>
      <c r="H178" s="194" t="inlineStr">
        <is>
          <t>Reports email schedule for Pradeep &amp; Priyanka's team</t>
        </is>
      </c>
      <c r="I178" s="195" t="n">
        <v>1</v>
      </c>
    </row>
    <row r="179" ht="15.75" customHeight="1" s="156">
      <c r="A179" s="192" t="inlineStr">
        <is>
          <t>June 2026</t>
        </is>
      </c>
      <c r="B179" s="192" t="inlineStr">
        <is>
          <t>Other</t>
        </is>
      </c>
      <c r="C179" s="192" t="inlineStr">
        <is>
          <t>Candidates Interview</t>
        </is>
      </c>
      <c r="D179" s="192" t="inlineStr">
        <is>
          <t>2026-06-17</t>
        </is>
      </c>
      <c r="E179" s="192" t="inlineStr">
        <is>
          <t>—</t>
        </is>
      </c>
      <c r="F179" s="192" t="inlineStr">
        <is>
          <t>Harish Bhat</t>
        </is>
      </c>
      <c r="G179" s="192" t="inlineStr">
        <is>
          <t>Online</t>
        </is>
      </c>
      <c r="H179" s="192" t="inlineStr">
        <is>
          <t>Candidates Interview</t>
        </is>
      </c>
      <c r="I179" s="193" t="n">
        <v>1</v>
      </c>
    </row>
    <row r="180" ht="15.75" customHeight="1" s="156">
      <c r="A180" s="192" t="inlineStr">
        <is>
          <t>June 2026</t>
        </is>
      </c>
      <c r="B180" s="192" t="inlineStr">
        <is>
          <t>Support Training</t>
        </is>
      </c>
      <c r="C180" s="192" t="inlineStr">
        <is>
          <t>Managers training Assesments Preperation</t>
        </is>
      </c>
      <c r="D180" s="192" t="inlineStr">
        <is>
          <t>2026-06-16</t>
        </is>
      </c>
      <c r="E180" s="192" t="inlineStr">
        <is>
          <t>—</t>
        </is>
      </c>
      <c r="F180" s="192" t="inlineStr">
        <is>
          <t>Harish Bhat</t>
        </is>
      </c>
      <c r="G180" s="192" t="inlineStr">
        <is>
          <t>Online</t>
        </is>
      </c>
      <c r="H180" s="192" t="inlineStr">
        <is>
          <t>Managers training Assesments Preperation</t>
        </is>
      </c>
      <c r="I180" s="193" t="n">
        <v>1</v>
      </c>
    </row>
    <row r="181" ht="15.75" customHeight="1" s="156">
      <c r="A181" s="194" t="inlineStr">
        <is>
          <t>June 2026</t>
        </is>
      </c>
      <c r="B181" s="194" t="inlineStr">
        <is>
          <t>Other</t>
        </is>
      </c>
      <c r="C181" s="194" t="inlineStr">
        <is>
          <t>Varsity script work</t>
        </is>
      </c>
      <c r="D181" s="194" t="inlineStr">
        <is>
          <t>2026-06-13</t>
        </is>
      </c>
      <c r="E181" s="194" t="inlineStr">
        <is>
          <t>—</t>
        </is>
      </c>
      <c r="F181" s="194" t="inlineStr">
        <is>
          <t>Harish Bhat</t>
        </is>
      </c>
      <c r="G181" s="194" t="inlineStr">
        <is>
          <t>Offline</t>
        </is>
      </c>
      <c r="H181" s="194" t="inlineStr">
        <is>
          <t>Varsity script work</t>
        </is>
      </c>
      <c r="I181" s="195" t="n">
        <v>3</v>
      </c>
    </row>
    <row r="182" ht="15.75" customHeight="1" s="156">
      <c r="A182" s="192" t="inlineStr">
        <is>
          <t>June 2026</t>
        </is>
      </c>
      <c r="B182" s="192" t="inlineStr">
        <is>
          <t>Other</t>
        </is>
      </c>
      <c r="C182" s="192" t="inlineStr">
        <is>
          <t>Candidates Interview</t>
        </is>
      </c>
      <c r="D182" s="192" t="inlineStr">
        <is>
          <t>2026-06-17</t>
        </is>
      </c>
      <c r="E182" s="192" t="inlineStr">
        <is>
          <t>—</t>
        </is>
      </c>
      <c r="F182" s="192" t="inlineStr">
        <is>
          <t>Harish Bhat</t>
        </is>
      </c>
      <c r="G182" s="192" t="inlineStr">
        <is>
          <t>Online</t>
        </is>
      </c>
      <c r="H182" s="192" t="inlineStr">
        <is>
          <t>Candidates Interview</t>
        </is>
      </c>
      <c r="I182" s="193" t="n">
        <v>1</v>
      </c>
    </row>
    <row r="183" ht="15.75" customHeight="1" s="156">
      <c r="A183" s="192" t="inlineStr">
        <is>
          <t>June 2026</t>
        </is>
      </c>
      <c r="B183" s="192" t="inlineStr">
        <is>
          <t>Other</t>
        </is>
      </c>
      <c r="C183" s="192" t="inlineStr">
        <is>
          <t>Candidates Interview</t>
        </is>
      </c>
      <c r="D183" s="192" t="inlineStr">
        <is>
          <t>2026-06-17</t>
        </is>
      </c>
      <c r="E183" s="192" t="inlineStr">
        <is>
          <t>—</t>
        </is>
      </c>
      <c r="F183" s="192" t="inlineStr">
        <is>
          <t>Harish Bhat</t>
        </is>
      </c>
      <c r="G183" s="192" t="inlineStr">
        <is>
          <t>Online</t>
        </is>
      </c>
      <c r="H183" s="192" t="inlineStr">
        <is>
          <t>Candidates Interview</t>
        </is>
      </c>
      <c r="I183" s="193" t="n">
        <v>1</v>
      </c>
    </row>
    <row r="184" ht="15.75" customHeight="1" s="156">
      <c r="A184" s="194" t="inlineStr">
        <is>
          <t>June 2026</t>
        </is>
      </c>
      <c r="B184" s="194" t="inlineStr">
        <is>
          <t>Support Training</t>
        </is>
      </c>
      <c r="C184" s="194" t="inlineStr">
        <is>
          <t>Communicate 360- Renu's team</t>
        </is>
      </c>
      <c r="D184" s="194" t="inlineStr">
        <is>
          <t>2026-06-16</t>
        </is>
      </c>
      <c r="E184" s="194" t="inlineStr">
        <is>
          <t>—</t>
        </is>
      </c>
      <c r="F184" s="194" t="inlineStr">
        <is>
          <t>Freeda Reshma Dsouza</t>
        </is>
      </c>
      <c r="G184" s="194" t="inlineStr">
        <is>
          <t>Offline</t>
        </is>
      </c>
      <c r="H184" s="194" t="inlineStr">
        <is>
          <t>Communicate 360- Renu's team</t>
        </is>
      </c>
      <c r="I184" s="195" t="n">
        <v>2.5</v>
      </c>
    </row>
    <row r="185" ht="15.75" customHeight="1" s="156">
      <c r="A185" s="194" t="inlineStr">
        <is>
          <t>June 2026</t>
        </is>
      </c>
      <c r="B185" s="194" t="inlineStr">
        <is>
          <t>Support Training</t>
        </is>
      </c>
      <c r="C185" s="194" t="inlineStr">
        <is>
          <t>Communicate 360- Renu's team</t>
        </is>
      </c>
      <c r="D185" s="194" t="inlineStr">
        <is>
          <t>2026-06-16</t>
        </is>
      </c>
      <c r="E185" s="194" t="inlineStr">
        <is>
          <t>—</t>
        </is>
      </c>
      <c r="F185" s="194" t="inlineStr">
        <is>
          <t>Freeda Reshma Dsouza</t>
        </is>
      </c>
      <c r="G185" s="194" t="inlineStr">
        <is>
          <t>Offline</t>
        </is>
      </c>
      <c r="H185" s="194" t="inlineStr">
        <is>
          <t>Communicate 360- Renu's team</t>
        </is>
      </c>
      <c r="I185" s="195" t="n">
        <v>2.5</v>
      </c>
    </row>
    <row r="186" ht="15.75" customHeight="1" s="156">
      <c r="A186" s="194" t="inlineStr">
        <is>
          <t>June 2026</t>
        </is>
      </c>
      <c r="B186" s="194" t="inlineStr">
        <is>
          <t>Support Training</t>
        </is>
      </c>
      <c r="C186" s="194" t="inlineStr">
        <is>
          <t>Communicate 360- Renu's team</t>
        </is>
      </c>
      <c r="D186" s="194" t="inlineStr">
        <is>
          <t>2026-06-17</t>
        </is>
      </c>
      <c r="E186" s="194" t="inlineStr">
        <is>
          <t>—</t>
        </is>
      </c>
      <c r="F186" s="194" t="inlineStr">
        <is>
          <t>Freeda Reshma Dsouza</t>
        </is>
      </c>
      <c r="G186" s="194" t="inlineStr">
        <is>
          <t>Offline</t>
        </is>
      </c>
      <c r="H186" s="194" t="inlineStr">
        <is>
          <t>Communicate 360- Renu's team</t>
        </is>
      </c>
      <c r="I186" s="195" t="n">
        <v>2.5</v>
      </c>
    </row>
    <row r="187" ht="15.75" customHeight="1" s="156">
      <c r="A187" s="194" t="inlineStr">
        <is>
          <t>June 2026</t>
        </is>
      </c>
      <c r="B187" s="194" t="inlineStr">
        <is>
          <t>Support Training</t>
        </is>
      </c>
      <c r="C187" s="194" t="inlineStr">
        <is>
          <t>Communicate 360- Renu's team</t>
        </is>
      </c>
      <c r="D187" s="194" t="inlineStr">
        <is>
          <t>2026-06-17</t>
        </is>
      </c>
      <c r="E187" s="194" t="inlineStr">
        <is>
          <t>—</t>
        </is>
      </c>
      <c r="F187" s="194" t="inlineStr">
        <is>
          <t>Freeda Reshma Dsouza</t>
        </is>
      </c>
      <c r="G187" s="194" t="inlineStr">
        <is>
          <t>Offline</t>
        </is>
      </c>
      <c r="H187" s="194" t="inlineStr">
        <is>
          <t>Communicate 360- Renu's team</t>
        </is>
      </c>
      <c r="I187" s="195" t="n">
        <v>2.5</v>
      </c>
    </row>
    <row r="188" ht="15.75" customHeight="1" s="156">
      <c r="A188" s="194" t="inlineStr">
        <is>
          <t>June 2026</t>
        </is>
      </c>
      <c r="B188" s="194" t="inlineStr">
        <is>
          <t>Support Training</t>
        </is>
      </c>
      <c r="C188" s="194" t="inlineStr">
        <is>
          <t>Communicate 360- Renu's team</t>
        </is>
      </c>
      <c r="D188" s="194" t="inlineStr">
        <is>
          <t>2026-06-18</t>
        </is>
      </c>
      <c r="E188" s="194" t="inlineStr">
        <is>
          <t>—</t>
        </is>
      </c>
      <c r="F188" s="194" t="inlineStr">
        <is>
          <t>Freeda Reshma Dsouza</t>
        </is>
      </c>
      <c r="G188" s="194" t="inlineStr">
        <is>
          <t>Offline</t>
        </is>
      </c>
      <c r="H188" s="194" t="inlineStr">
        <is>
          <t>Communicate 360- Renu's team</t>
        </is>
      </c>
      <c r="I188" s="195" t="n">
        <v>2.5</v>
      </c>
    </row>
    <row r="189" ht="15.75" customHeight="1" s="156">
      <c r="A189" s="194" t="inlineStr">
        <is>
          <t>June 2026</t>
        </is>
      </c>
      <c r="B189" s="194" t="inlineStr">
        <is>
          <t>Support Training</t>
        </is>
      </c>
      <c r="C189" s="194" t="inlineStr">
        <is>
          <t>Communicate 360- Renu's team</t>
        </is>
      </c>
      <c r="D189" s="194" t="inlineStr">
        <is>
          <t>2026-06-18</t>
        </is>
      </c>
      <c r="E189" s="194" t="inlineStr">
        <is>
          <t>—</t>
        </is>
      </c>
      <c r="F189" s="194" t="inlineStr">
        <is>
          <t>Freeda Reshma Dsouza</t>
        </is>
      </c>
      <c r="G189" s="194" t="inlineStr">
        <is>
          <t>Offline</t>
        </is>
      </c>
      <c r="H189" s="194" t="inlineStr">
        <is>
          <t>Communicate 360- Renu's team</t>
        </is>
      </c>
      <c r="I189" s="195" t="n">
        <v>2.5</v>
      </c>
    </row>
    <row r="190" ht="15.75" customHeight="1" s="156">
      <c r="A190" s="194" t="inlineStr">
        <is>
          <t>June 2026</t>
        </is>
      </c>
      <c r="B190" s="194" t="inlineStr">
        <is>
          <t>Support Training</t>
        </is>
      </c>
      <c r="C190" s="194" t="inlineStr">
        <is>
          <t>Communicate 360- Renu's team</t>
        </is>
      </c>
      <c r="D190" s="194" t="inlineStr">
        <is>
          <t>2026-06-19</t>
        </is>
      </c>
      <c r="E190" s="194" t="inlineStr">
        <is>
          <t>—</t>
        </is>
      </c>
      <c r="F190" s="194" t="inlineStr">
        <is>
          <t>Freeda Reshma Dsouza</t>
        </is>
      </c>
      <c r="G190" s="194" t="inlineStr">
        <is>
          <t>Offline</t>
        </is>
      </c>
      <c r="H190" s="194" t="inlineStr">
        <is>
          <t>Communicate 360- Renu's team</t>
        </is>
      </c>
      <c r="I190" s="195" t="n">
        <v>2.75</v>
      </c>
    </row>
    <row r="191" ht="15.75" customHeight="1" s="156">
      <c r="A191" s="194" t="inlineStr">
        <is>
          <t>June 2026</t>
        </is>
      </c>
      <c r="B191" s="194" t="inlineStr">
        <is>
          <t>Support Training</t>
        </is>
      </c>
      <c r="C191" s="194" t="inlineStr">
        <is>
          <t>Communicate 360- Renu's team</t>
        </is>
      </c>
      <c r="D191" s="194" t="inlineStr">
        <is>
          <t>2026-06-19</t>
        </is>
      </c>
      <c r="E191" s="194" t="inlineStr">
        <is>
          <t>—</t>
        </is>
      </c>
      <c r="F191" s="194" t="inlineStr">
        <is>
          <t>Freeda Reshma Dsouza</t>
        </is>
      </c>
      <c r="G191" s="194" t="inlineStr">
        <is>
          <t>Offline</t>
        </is>
      </c>
      <c r="H191" s="194" t="inlineStr">
        <is>
          <t>Communicate 360- Renu's team</t>
        </is>
      </c>
      <c r="I191" s="195" t="n">
        <v>2.75</v>
      </c>
    </row>
    <row r="192" ht="15.75" customHeight="1" s="156">
      <c r="A192" s="194" t="inlineStr">
        <is>
          <t>June 2026</t>
        </is>
      </c>
      <c r="B192" s="194" t="inlineStr">
        <is>
          <t>Support Training</t>
        </is>
      </c>
      <c r="C192" s="194" t="inlineStr">
        <is>
          <t>Tickets team Communicate 360 training</t>
        </is>
      </c>
      <c r="D192" s="194" t="inlineStr">
        <is>
          <t>2026-06-29</t>
        </is>
      </c>
      <c r="E192" s="194" t="inlineStr">
        <is>
          <t>—</t>
        </is>
      </c>
      <c r="F192" s="194" t="inlineStr">
        <is>
          <t>Freeda Reshma Dsouza</t>
        </is>
      </c>
      <c r="G192" s="194" t="inlineStr">
        <is>
          <t>Offline</t>
        </is>
      </c>
      <c r="H192" s="194" t="inlineStr">
        <is>
          <t>Tickets team Communicate 360 training</t>
        </is>
      </c>
      <c r="I192" s="195" t="n">
        <v>2.5</v>
      </c>
    </row>
    <row r="193" ht="15.75" customHeight="1" s="156">
      <c r="A193" s="194" t="inlineStr">
        <is>
          <t>June 2026</t>
        </is>
      </c>
      <c r="B193" s="194" t="inlineStr">
        <is>
          <t>Support Training</t>
        </is>
      </c>
      <c r="C193" s="194" t="inlineStr">
        <is>
          <t>Tickets team communicate 360 training</t>
        </is>
      </c>
      <c r="D193" s="194" t="inlineStr">
        <is>
          <t>2026-06-30</t>
        </is>
      </c>
      <c r="E193" s="194" t="inlineStr">
        <is>
          <t>—</t>
        </is>
      </c>
      <c r="F193" s="194" t="inlineStr">
        <is>
          <t>Freeda Reshma Dsouza</t>
        </is>
      </c>
      <c r="G193" s="194" t="inlineStr">
        <is>
          <t>Offline</t>
        </is>
      </c>
      <c r="H193" s="194" t="inlineStr">
        <is>
          <t>Tickets team communicate 360 training</t>
        </is>
      </c>
      <c r="I193" s="195" t="n">
        <v>2.5</v>
      </c>
    </row>
    <row r="194" ht="15.75" customHeight="1" s="156">
      <c r="A194" s="194" t="inlineStr">
        <is>
          <t>June 2026</t>
        </is>
      </c>
      <c r="B194" s="194" t="inlineStr">
        <is>
          <t>Support Training</t>
        </is>
      </c>
      <c r="C194" s="194" t="inlineStr">
        <is>
          <t>Tickets team communicate 360 training</t>
        </is>
      </c>
      <c r="D194" s="194" t="inlineStr">
        <is>
          <t>2026-06-30</t>
        </is>
      </c>
      <c r="E194" s="194" t="inlineStr">
        <is>
          <t>—</t>
        </is>
      </c>
      <c r="F194" s="194" t="inlineStr">
        <is>
          <t>Freeda Reshma Dsouza</t>
        </is>
      </c>
      <c r="G194" s="194" t="inlineStr">
        <is>
          <t>Offline</t>
        </is>
      </c>
      <c r="H194" s="194" t="inlineStr">
        <is>
          <t>Tickets team communicate 360 training</t>
        </is>
      </c>
      <c r="I194" s="195" t="n">
        <v>2.5</v>
      </c>
    </row>
    <row r="195" ht="15.75" customHeight="1" s="156">
      <c r="A195" s="194" t="inlineStr">
        <is>
          <t>June 2026</t>
        </is>
      </c>
      <c r="B195" s="194" t="inlineStr">
        <is>
          <t>Support Training</t>
        </is>
      </c>
      <c r="C195" s="194" t="inlineStr">
        <is>
          <t>NRI Sales and Acop Training session</t>
        </is>
      </c>
      <c r="D195" s="194" t="inlineStr">
        <is>
          <t>2026-06-10</t>
        </is>
      </c>
      <c r="E195" s="194" t="inlineStr">
        <is>
          <t>—</t>
        </is>
      </c>
      <c r="F195" s="194" t="inlineStr">
        <is>
          <t>Girish A</t>
        </is>
      </c>
      <c r="G195" s="194" t="inlineStr">
        <is>
          <t>Offline</t>
        </is>
      </c>
      <c r="H195" s="194" t="inlineStr">
        <is>
          <t>NRI Sales and Acop Training session</t>
        </is>
      </c>
      <c r="I195" s="195" t="n">
        <v>6.5</v>
      </c>
    </row>
    <row r="196" ht="15.75" customHeight="1" s="156">
      <c r="A196" s="194" t="inlineStr">
        <is>
          <t>June 2026</t>
        </is>
      </c>
      <c r="B196" s="194" t="inlineStr">
        <is>
          <t>Support Training</t>
        </is>
      </c>
      <c r="C196" s="194" t="inlineStr">
        <is>
          <t>NRI Sales and Acop Training session</t>
        </is>
      </c>
      <c r="D196" s="194" t="inlineStr">
        <is>
          <t>2026-06-11</t>
        </is>
      </c>
      <c r="E196" s="194" t="inlineStr">
        <is>
          <t>—</t>
        </is>
      </c>
      <c r="F196" s="194" t="inlineStr">
        <is>
          <t>Girish A</t>
        </is>
      </c>
      <c r="G196" s="194" t="inlineStr">
        <is>
          <t>Offline</t>
        </is>
      </c>
      <c r="H196" s="194" t="inlineStr">
        <is>
          <t>NRI Sales and Acop Training session</t>
        </is>
      </c>
      <c r="I196" s="195" t="n">
        <v>6.5</v>
      </c>
    </row>
    <row r="197" ht="15.75" customHeight="1" s="156">
      <c r="A197" s="194" t="inlineStr">
        <is>
          <t>June 2026</t>
        </is>
      </c>
      <c r="B197" s="194" t="inlineStr">
        <is>
          <t>Support Training</t>
        </is>
      </c>
      <c r="C197" s="194" t="inlineStr">
        <is>
          <t>NRI Sales and Acop Training session</t>
        </is>
      </c>
      <c r="D197" s="194" t="inlineStr">
        <is>
          <t>2026-06-12</t>
        </is>
      </c>
      <c r="E197" s="194" t="inlineStr">
        <is>
          <t>—</t>
        </is>
      </c>
      <c r="F197" s="194" t="inlineStr">
        <is>
          <t>Girish A</t>
        </is>
      </c>
      <c r="G197" s="194" t="inlineStr">
        <is>
          <t>Offline</t>
        </is>
      </c>
      <c r="H197" s="194" t="inlineStr">
        <is>
          <t>NRI Sales and Acop Training session</t>
        </is>
      </c>
      <c r="I197" s="195" t="n">
        <v>6.5</v>
      </c>
    </row>
    <row r="198" ht="15.75" customHeight="1" s="156">
      <c r="A198" s="194" t="inlineStr">
        <is>
          <t>June 2026</t>
        </is>
      </c>
      <c r="B198" s="194" t="inlineStr">
        <is>
          <t>Support Training</t>
        </is>
      </c>
      <c r="C198" s="194" t="inlineStr">
        <is>
          <t>NRI Sales and Acop Training session</t>
        </is>
      </c>
      <c r="D198" s="194" t="inlineStr">
        <is>
          <t>2026-06-15</t>
        </is>
      </c>
      <c r="E198" s="194" t="inlineStr">
        <is>
          <t>—</t>
        </is>
      </c>
      <c r="F198" s="194" t="inlineStr">
        <is>
          <t>Girish A</t>
        </is>
      </c>
      <c r="G198" s="194" t="inlineStr">
        <is>
          <t>Offline</t>
        </is>
      </c>
      <c r="H198" s="194" t="inlineStr">
        <is>
          <t>NRI Sales and Acop Training session</t>
        </is>
      </c>
      <c r="I198" s="195" t="n">
        <v>6.5</v>
      </c>
    </row>
    <row r="199" ht="15.75" customHeight="1" s="156">
      <c r="A199" s="194" t="inlineStr">
        <is>
          <t>June 2026</t>
        </is>
      </c>
      <c r="B199" s="194" t="inlineStr">
        <is>
          <t>Support Training</t>
        </is>
      </c>
      <c r="C199" s="194" t="inlineStr">
        <is>
          <t>NRI Sales and Acop Training session</t>
        </is>
      </c>
      <c r="D199" s="194" t="inlineStr">
        <is>
          <t>2026-06-16</t>
        </is>
      </c>
      <c r="E199" s="194" t="inlineStr">
        <is>
          <t>—</t>
        </is>
      </c>
      <c r="F199" s="194" t="inlineStr">
        <is>
          <t>Girish A</t>
        </is>
      </c>
      <c r="G199" s="194" t="inlineStr">
        <is>
          <t>Offline</t>
        </is>
      </c>
      <c r="H199" s="194" t="inlineStr">
        <is>
          <t>NRI Sales and Acop Training session</t>
        </is>
      </c>
      <c r="I199" s="195" t="n">
        <v>6.5</v>
      </c>
    </row>
    <row r="200" ht="15.75" customHeight="1" s="156">
      <c r="A200" s="194" t="inlineStr">
        <is>
          <t>June 2026</t>
        </is>
      </c>
      <c r="B200" s="194" t="inlineStr">
        <is>
          <t>Support Training</t>
        </is>
      </c>
      <c r="C200" s="194" t="inlineStr">
        <is>
          <t>NRI Sales and Acop Training session</t>
        </is>
      </c>
      <c r="D200" s="194" t="inlineStr">
        <is>
          <t>2026-06-17</t>
        </is>
      </c>
      <c r="E200" s="194" t="inlineStr">
        <is>
          <t>—</t>
        </is>
      </c>
      <c r="F200" s="194" t="inlineStr">
        <is>
          <t>Girish A</t>
        </is>
      </c>
      <c r="G200" s="194" t="inlineStr">
        <is>
          <t>Offline</t>
        </is>
      </c>
      <c r="H200" s="194" t="inlineStr">
        <is>
          <t>NRI Sales and Acop Training session</t>
        </is>
      </c>
      <c r="I200" s="195" t="n">
        <v>6.5</v>
      </c>
    </row>
    <row r="201" ht="15.75" customHeight="1" s="156">
      <c r="A201" s="194" t="inlineStr">
        <is>
          <t>June 2026</t>
        </is>
      </c>
      <c r="B201" s="194" t="inlineStr">
        <is>
          <t>Support Training</t>
        </is>
      </c>
      <c r="C201" s="194" t="inlineStr">
        <is>
          <t>NRI Sales and Acop Training session</t>
        </is>
      </c>
      <c r="D201" s="194" t="inlineStr">
        <is>
          <t>2026-06-18</t>
        </is>
      </c>
      <c r="E201" s="194" t="inlineStr">
        <is>
          <t>—</t>
        </is>
      </c>
      <c r="F201" s="194" t="inlineStr">
        <is>
          <t>Girish A</t>
        </is>
      </c>
      <c r="G201" s="194" t="inlineStr">
        <is>
          <t>Offline</t>
        </is>
      </c>
      <c r="H201" s="194" t="inlineStr">
        <is>
          <t>NRI Sales and Acop Training session</t>
        </is>
      </c>
      <c r="I201" s="195" t="n">
        <v>6.5</v>
      </c>
    </row>
    <row r="202" ht="15.75" customHeight="1" s="156">
      <c r="A202" s="194" t="inlineStr">
        <is>
          <t>June 2026</t>
        </is>
      </c>
      <c r="B202" s="194" t="inlineStr">
        <is>
          <t>Support Training</t>
        </is>
      </c>
      <c r="C202" s="194" t="inlineStr">
        <is>
          <t>NRI Sales and Acop Training session</t>
        </is>
      </c>
      <c r="D202" s="194" t="inlineStr">
        <is>
          <t>2026-06-19</t>
        </is>
      </c>
      <c r="E202" s="194" t="inlineStr">
        <is>
          <t>—</t>
        </is>
      </c>
      <c r="F202" s="194" t="inlineStr">
        <is>
          <t>Girish A</t>
        </is>
      </c>
      <c r="G202" s="194" t="inlineStr">
        <is>
          <t>Offline</t>
        </is>
      </c>
      <c r="H202" s="194" t="inlineStr">
        <is>
          <t>NRI Sales and Acop Training session</t>
        </is>
      </c>
      <c r="I202" s="195" t="n">
        <v>6.5</v>
      </c>
    </row>
    <row r="203" ht="15.75" customHeight="1" s="156">
      <c r="A203" s="194" t="inlineStr">
        <is>
          <t>June 2026</t>
        </is>
      </c>
      <c r="B203" s="194" t="inlineStr">
        <is>
          <t>Other</t>
        </is>
      </c>
      <c r="C203" s="194" t="inlineStr">
        <is>
          <t>NRI Sales and Acop Question paper preparation</t>
        </is>
      </c>
      <c r="D203" s="194" t="inlineStr">
        <is>
          <t>2026-06-20</t>
        </is>
      </c>
      <c r="E203" s="194" t="inlineStr">
        <is>
          <t>—</t>
        </is>
      </c>
      <c r="F203" s="194" t="inlineStr">
        <is>
          <t>Girish A</t>
        </is>
      </c>
      <c r="G203" s="194" t="inlineStr">
        <is>
          <t>Offline</t>
        </is>
      </c>
      <c r="H203" s="194" t="inlineStr">
        <is>
          <t>NRI Sales and Acop Question paper preparation</t>
        </is>
      </c>
      <c r="I203" s="195" t="n">
        <v>2.5</v>
      </c>
    </row>
    <row r="204" ht="15.75" customHeight="1" s="156">
      <c r="A204" s="192" t="inlineStr">
        <is>
          <t>June 2026</t>
        </is>
      </c>
      <c r="B204" s="192" t="inlineStr">
        <is>
          <t>Other</t>
        </is>
      </c>
      <c r="C204" s="192" t="inlineStr">
        <is>
          <t>LMS Tool testing and conducting Exam</t>
        </is>
      </c>
      <c r="D204" s="192" t="inlineStr">
        <is>
          <t>2026-06-25</t>
        </is>
      </c>
      <c r="E204" s="192" t="inlineStr">
        <is>
          <t>—</t>
        </is>
      </c>
      <c r="F204" s="192" t="inlineStr">
        <is>
          <t>Girish A</t>
        </is>
      </c>
      <c r="G204" s="192" t="inlineStr">
        <is>
          <t>Online</t>
        </is>
      </c>
      <c r="H204" s="192" t="inlineStr">
        <is>
          <t>LMS Tool testing and conducting Exam</t>
        </is>
      </c>
      <c r="I204" s="193" t="n">
        <v>4</v>
      </c>
    </row>
    <row r="205" ht="15.75" customHeight="1" s="156">
      <c r="A205" s="194" t="inlineStr">
        <is>
          <t>June 2026</t>
        </is>
      </c>
      <c r="B205" s="194" t="inlineStr">
        <is>
          <t>Support Training</t>
        </is>
      </c>
      <c r="C205" s="194" t="inlineStr">
        <is>
          <t>NRI Sales and Acop Training session</t>
        </is>
      </c>
      <c r="D205" s="194" t="inlineStr">
        <is>
          <t>2026-06-22</t>
        </is>
      </c>
      <c r="E205" s="194" t="inlineStr">
        <is>
          <t>—</t>
        </is>
      </c>
      <c r="F205" s="194" t="inlineStr">
        <is>
          <t>Girish A</t>
        </is>
      </c>
      <c r="G205" s="194" t="inlineStr">
        <is>
          <t>Offline</t>
        </is>
      </c>
      <c r="H205" s="194" t="inlineStr">
        <is>
          <t>NRI Sales and Acop Training session</t>
        </is>
      </c>
      <c r="I205" s="195" t="n">
        <v>6.5</v>
      </c>
    </row>
    <row r="206" ht="15.75" customHeight="1" s="156">
      <c r="A206" s="194" t="inlineStr">
        <is>
          <t>June 2026</t>
        </is>
      </c>
      <c r="B206" s="194" t="inlineStr">
        <is>
          <t>Support Training</t>
        </is>
      </c>
      <c r="C206" s="194" t="inlineStr">
        <is>
          <t>NRI Sales and Acop Training session</t>
        </is>
      </c>
      <c r="D206" s="194" t="inlineStr">
        <is>
          <t>2026-06-23</t>
        </is>
      </c>
      <c r="E206" s="194" t="inlineStr">
        <is>
          <t>—</t>
        </is>
      </c>
      <c r="F206" s="194" t="inlineStr">
        <is>
          <t>Girish A</t>
        </is>
      </c>
      <c r="G206" s="194" t="inlineStr">
        <is>
          <t>Offline</t>
        </is>
      </c>
      <c r="H206" s="194" t="inlineStr">
        <is>
          <t>NRI Sales and Acop Training session</t>
        </is>
      </c>
      <c r="I206" s="195" t="n">
        <v>6.5</v>
      </c>
    </row>
    <row r="207" ht="15.75" customHeight="1" s="156">
      <c r="A207" s="192" t="inlineStr">
        <is>
          <t>June 2026</t>
        </is>
      </c>
      <c r="B207" s="192" t="inlineStr">
        <is>
          <t>Support Training</t>
        </is>
      </c>
      <c r="C207" s="192" t="inlineStr">
        <is>
          <t>NRI Sales and Acop Training session (Soft skills)</t>
        </is>
      </c>
      <c r="D207" s="192" t="inlineStr">
        <is>
          <t>2026-06-24</t>
        </is>
      </c>
      <c r="E207" s="192" t="inlineStr">
        <is>
          <t>—</t>
        </is>
      </c>
      <c r="F207" s="192" t="inlineStr">
        <is>
          <t>Girish A</t>
        </is>
      </c>
      <c r="G207" s="192" t="inlineStr">
        <is>
          <t>Online</t>
        </is>
      </c>
      <c r="H207" s="192" t="inlineStr">
        <is>
          <t>NRI Sales and Acop Training session (Soft skills)</t>
        </is>
      </c>
      <c r="I207" s="193" t="n">
        <v>5</v>
      </c>
    </row>
    <row r="208" ht="15.75" customHeight="1" s="156">
      <c r="A208" s="192" t="inlineStr">
        <is>
          <t>June 2026</t>
        </is>
      </c>
      <c r="B208" s="192" t="inlineStr">
        <is>
          <t>Support Training</t>
        </is>
      </c>
      <c r="C208" s="192" t="inlineStr">
        <is>
          <t>NRI Sales and Acop OJT</t>
        </is>
      </c>
      <c r="D208" s="192" t="inlineStr">
        <is>
          <t>2026-06-30</t>
        </is>
      </c>
      <c r="E208" s="192" t="inlineStr">
        <is>
          <t>—</t>
        </is>
      </c>
      <c r="F208" s="192" t="inlineStr">
        <is>
          <t>Girish A</t>
        </is>
      </c>
      <c r="G208" s="192" t="inlineStr">
        <is>
          <t>Online</t>
        </is>
      </c>
      <c r="H208" s="192" t="inlineStr">
        <is>
          <t>NRI Sales and Acop OJT</t>
        </is>
      </c>
      <c r="I208" s="193" t="n">
        <v>2</v>
      </c>
    </row>
    <row r="209" ht="15.75" customHeight="1" s="156">
      <c r="A209" s="194" t="inlineStr">
        <is>
          <t>June 2026</t>
        </is>
      </c>
      <c r="B209" s="194" t="inlineStr">
        <is>
          <t>Support Training</t>
        </is>
      </c>
      <c r="C209" s="194" t="inlineStr">
        <is>
          <t>Soft Skills training - New Hire - NRI sales</t>
        </is>
      </c>
      <c r="D209" s="194" t="inlineStr">
        <is>
          <t>2026-06-24</t>
        </is>
      </c>
      <c r="E209" s="194" t="inlineStr">
        <is>
          <t>—</t>
        </is>
      </c>
      <c r="F209" s="194" t="inlineStr">
        <is>
          <t>Freeda Reshma Dsouza</t>
        </is>
      </c>
      <c r="G209" s="194" t="inlineStr">
        <is>
          <t>Offline</t>
        </is>
      </c>
      <c r="H209" s="194" t="inlineStr">
        <is>
          <t>Soft Skills training - New Hire - NRI sales</t>
        </is>
      </c>
      <c r="I209" s="195" t="n">
        <v>4.5</v>
      </c>
    </row>
    <row r="210" ht="15.75" customHeight="1" s="156">
      <c r="A210" s="192" t="inlineStr">
        <is>
          <t>June 2026</t>
        </is>
      </c>
      <c r="B210" s="192" t="inlineStr">
        <is>
          <t>Other</t>
        </is>
      </c>
      <c r="C210" s="192" t="inlineStr">
        <is>
          <t>Candidates Interview</t>
        </is>
      </c>
      <c r="D210" s="192" t="inlineStr">
        <is>
          <t>2026-06-25</t>
        </is>
      </c>
      <c r="E210" s="192" t="inlineStr">
        <is>
          <t>—</t>
        </is>
      </c>
      <c r="F210" s="192" t="inlineStr">
        <is>
          <t>Harish Bhat</t>
        </is>
      </c>
      <c r="G210" s="192" t="inlineStr">
        <is>
          <t>Online</t>
        </is>
      </c>
      <c r="H210" s="192" t="inlineStr">
        <is>
          <t>Candidates Interview</t>
        </is>
      </c>
      <c r="I210" s="193" t="n">
        <v>1</v>
      </c>
    </row>
    <row r="211" ht="15.75" customHeight="1" s="156">
      <c r="A211" s="192" t="inlineStr">
        <is>
          <t>June 2026</t>
        </is>
      </c>
      <c r="B211" s="192" t="inlineStr">
        <is>
          <t>Other</t>
        </is>
      </c>
      <c r="C211" s="192" t="inlineStr">
        <is>
          <t>Candidates Interview</t>
        </is>
      </c>
      <c r="D211" s="192" t="inlineStr">
        <is>
          <t>2026-06-19</t>
        </is>
      </c>
      <c r="E211" s="192" t="inlineStr">
        <is>
          <t>—</t>
        </is>
      </c>
      <c r="F211" s="192" t="inlineStr">
        <is>
          <t>Harish Bhat</t>
        </is>
      </c>
      <c r="G211" s="192" t="inlineStr">
        <is>
          <t>Online</t>
        </is>
      </c>
      <c r="H211" s="192" t="inlineStr">
        <is>
          <t>Candidates Interview</t>
        </is>
      </c>
      <c r="I211" s="193" t="n">
        <v>1</v>
      </c>
    </row>
    <row r="212" ht="15.75" customHeight="1" s="156">
      <c r="A212" s="192" t="inlineStr">
        <is>
          <t>June 2026</t>
        </is>
      </c>
      <c r="B212" s="192" t="inlineStr">
        <is>
          <t>Assessment</t>
        </is>
      </c>
      <c r="C212" s="192" t="inlineStr">
        <is>
          <t>Review on Pick &amp; Speak &amp; mockcall - Renu team</t>
        </is>
      </c>
      <c r="D212" s="192" t="inlineStr">
        <is>
          <t>2026-06-18</t>
        </is>
      </c>
      <c r="E212" s="192" t="inlineStr">
        <is>
          <t>—</t>
        </is>
      </c>
      <c r="F212" s="192" t="inlineStr">
        <is>
          <t>Harish Bhat</t>
        </is>
      </c>
      <c r="G212" s="192" t="inlineStr">
        <is>
          <t>Online</t>
        </is>
      </c>
      <c r="H212" s="192" t="inlineStr">
        <is>
          <t>Review on Pick &amp; Speak &amp; mockcall - Renu team</t>
        </is>
      </c>
      <c r="I212" s="193" t="n">
        <v>3</v>
      </c>
    </row>
    <row r="213" ht="15.75" customHeight="1" s="156">
      <c r="A213" s="192" t="inlineStr">
        <is>
          <t>June 2026</t>
        </is>
      </c>
      <c r="B213" s="192" t="inlineStr">
        <is>
          <t>Support Training</t>
        </is>
      </c>
      <c r="C213" s="192" t="inlineStr">
        <is>
          <t>Libredesk Demo</t>
        </is>
      </c>
      <c r="D213" s="192" t="inlineStr">
        <is>
          <t>2026-06-30</t>
        </is>
      </c>
      <c r="E213" s="192" t="inlineStr">
        <is>
          <t>—</t>
        </is>
      </c>
      <c r="F213" s="192" t="inlineStr">
        <is>
          <t>Harish Bhat</t>
        </is>
      </c>
      <c r="G213" s="192" t="inlineStr">
        <is>
          <t>Online</t>
        </is>
      </c>
      <c r="H213" s="192" t="inlineStr">
        <is>
          <t>Libredesk Demo</t>
        </is>
      </c>
      <c r="I213" s="193" t="n">
        <v>1</v>
      </c>
    </row>
    <row r="214" ht="15.75" customHeight="1" s="156">
      <c r="A214" s="192" t="inlineStr">
        <is>
          <t>June 2026</t>
        </is>
      </c>
      <c r="B214" s="192" t="inlineStr">
        <is>
          <t>Support Training</t>
        </is>
      </c>
      <c r="C214" s="192" t="inlineStr">
        <is>
          <t>Libredesk session preperation</t>
        </is>
      </c>
      <c r="D214" s="192" t="inlineStr">
        <is>
          <t>2026-06-30</t>
        </is>
      </c>
      <c r="E214" s="192" t="inlineStr">
        <is>
          <t>—</t>
        </is>
      </c>
      <c r="F214" s="192" t="inlineStr">
        <is>
          <t>Harish Bhat</t>
        </is>
      </c>
      <c r="G214" s="192" t="inlineStr">
        <is>
          <t>Online</t>
        </is>
      </c>
      <c r="H214" s="192" t="inlineStr">
        <is>
          <t>Libredesk session preperation</t>
        </is>
      </c>
      <c r="I214" s="193" t="n">
        <v>2</v>
      </c>
    </row>
    <row r="215" ht="15.75" customHeight="1" s="156">
      <c r="A215" s="192" t="inlineStr">
        <is>
          <t>June 2026</t>
        </is>
      </c>
      <c r="B215" s="192" t="inlineStr">
        <is>
          <t>Support Training</t>
        </is>
      </c>
      <c r="C215" s="192" t="inlineStr">
        <is>
          <t>NRI Sales and Accop OJT</t>
        </is>
      </c>
      <c r="D215" s="192" t="inlineStr">
        <is>
          <t>2026-06-30</t>
        </is>
      </c>
      <c r="E215" s="192" t="inlineStr">
        <is>
          <t>—</t>
        </is>
      </c>
      <c r="F215" s="192" t="inlineStr">
        <is>
          <t>Harish Bhat</t>
        </is>
      </c>
      <c r="G215" s="192" t="inlineStr">
        <is>
          <t>Online</t>
        </is>
      </c>
      <c r="H215" s="192" t="inlineStr">
        <is>
          <t>NRI Sales and Accop OJT</t>
        </is>
      </c>
      <c r="I215" s="193" t="n">
        <v>2</v>
      </c>
    </row>
    <row r="216" ht="15.75" customHeight="1" s="156">
      <c r="A216" s="192" t="inlineStr">
        <is>
          <t>June 2026</t>
        </is>
      </c>
      <c r="B216" s="192" t="inlineStr">
        <is>
          <t>Other</t>
        </is>
      </c>
      <c r="C216" s="192" t="inlineStr">
        <is>
          <t>Managers &amp; NRI Assesments discussion</t>
        </is>
      </c>
      <c r="D216" s="192" t="inlineStr">
        <is>
          <t>2026-06-29</t>
        </is>
      </c>
      <c r="E216" s="192" t="inlineStr">
        <is>
          <t>—</t>
        </is>
      </c>
      <c r="F216" s="192" t="inlineStr">
        <is>
          <t>Harish Bhat</t>
        </is>
      </c>
      <c r="G216" s="192" t="inlineStr">
        <is>
          <t>Online</t>
        </is>
      </c>
      <c r="H216" s="192" t="inlineStr">
        <is>
          <t>Managers &amp; NRI Assesments discussion</t>
        </is>
      </c>
      <c r="I216" s="193" t="n">
        <v>1</v>
      </c>
    </row>
    <row r="217" ht="15.75" customHeight="1" s="156">
      <c r="A217" s="192" t="inlineStr">
        <is>
          <t>June 2026</t>
        </is>
      </c>
      <c r="B217" s="192" t="inlineStr">
        <is>
          <t>Other</t>
        </is>
      </c>
      <c r="C217" s="192" t="inlineStr">
        <is>
          <t>lms tool testing</t>
        </is>
      </c>
      <c r="D217" s="192" t="inlineStr">
        <is>
          <t>2026-06-25</t>
        </is>
      </c>
      <c r="E217" s="192" t="inlineStr">
        <is>
          <t>—</t>
        </is>
      </c>
      <c r="F217" s="192" t="inlineStr">
        <is>
          <t>Harish Bhat</t>
        </is>
      </c>
      <c r="G217" s="192" t="inlineStr">
        <is>
          <t>Online</t>
        </is>
      </c>
      <c r="H217" s="192" t="inlineStr">
        <is>
          <t>lms tool testing</t>
        </is>
      </c>
      <c r="I217" s="193" t="n">
        <v>4</v>
      </c>
    </row>
    <row r="218" ht="15.75" customHeight="1" s="156">
      <c r="A218" s="192" t="inlineStr">
        <is>
          <t>June 2026</t>
        </is>
      </c>
      <c r="B218" s="192" t="inlineStr">
        <is>
          <t>Other</t>
        </is>
      </c>
      <c r="C218" s="192" t="inlineStr">
        <is>
          <t>lms tool testing</t>
        </is>
      </c>
      <c r="D218" s="192" t="inlineStr">
        <is>
          <t>2026-06-24</t>
        </is>
      </c>
      <c r="E218" s="192" t="inlineStr">
        <is>
          <t>—</t>
        </is>
      </c>
      <c r="F218" s="192" t="inlineStr">
        <is>
          <t>Harish Bhat</t>
        </is>
      </c>
      <c r="G218" s="192" t="inlineStr">
        <is>
          <t>Online</t>
        </is>
      </c>
      <c r="H218" s="192" t="inlineStr">
        <is>
          <t>lms tool testing</t>
        </is>
      </c>
      <c r="I218" s="193" t="n">
        <v>4</v>
      </c>
    </row>
    <row r="219" ht="15.75" customHeight="1" s="156">
      <c r="A219" s="192" t="inlineStr">
        <is>
          <t>June 2026</t>
        </is>
      </c>
      <c r="B219" s="192" t="inlineStr">
        <is>
          <t>Other</t>
        </is>
      </c>
      <c r="C219" s="192" t="inlineStr">
        <is>
          <t>lms tool testing</t>
        </is>
      </c>
      <c r="D219" s="192" t="inlineStr">
        <is>
          <t>2026-06-23</t>
        </is>
      </c>
      <c r="E219" s="192" t="inlineStr">
        <is>
          <t>—</t>
        </is>
      </c>
      <c r="F219" s="192" t="inlineStr">
        <is>
          <t>Harish Bhat</t>
        </is>
      </c>
      <c r="G219" s="192" t="inlineStr">
        <is>
          <t>Online</t>
        </is>
      </c>
      <c r="H219" s="192" t="inlineStr">
        <is>
          <t>lms tool testing</t>
        </is>
      </c>
      <c r="I219" s="193" t="n">
        <v>4</v>
      </c>
    </row>
    <row r="220" ht="15.75" customHeight="1" s="156">
      <c r="A220" s="192" t="inlineStr">
        <is>
          <t>June 2026</t>
        </is>
      </c>
      <c r="B220" s="192" t="inlineStr">
        <is>
          <t>Other</t>
        </is>
      </c>
      <c r="C220" s="192" t="inlineStr">
        <is>
          <t>lms tool testing</t>
        </is>
      </c>
      <c r="D220" s="192" t="inlineStr">
        <is>
          <t>2026-06-22</t>
        </is>
      </c>
      <c r="E220" s="192" t="inlineStr">
        <is>
          <t>—</t>
        </is>
      </c>
      <c r="F220" s="192" t="inlineStr">
        <is>
          <t>Harish Bhat</t>
        </is>
      </c>
      <c r="G220" s="192" t="inlineStr">
        <is>
          <t>Online</t>
        </is>
      </c>
      <c r="H220" s="192" t="inlineStr">
        <is>
          <t>lms tool testing</t>
        </is>
      </c>
      <c r="I220" s="193" t="n">
        <v>4</v>
      </c>
    </row>
    <row r="221" ht="15.75" customHeight="1" s="156">
      <c r="A221" s="192" t="inlineStr">
        <is>
          <t>June 2026</t>
        </is>
      </c>
      <c r="B221" s="192" t="inlineStr">
        <is>
          <t>Other</t>
        </is>
      </c>
      <c r="C221" s="192" t="inlineStr">
        <is>
          <t>varsity tickets</t>
        </is>
      </c>
      <c r="D221" s="192" t="inlineStr">
        <is>
          <t>2026-06-12</t>
        </is>
      </c>
      <c r="E221" s="192" t="inlineStr">
        <is>
          <t>—</t>
        </is>
      </c>
      <c r="F221" s="192" t="inlineStr">
        <is>
          <t>Harish Bhat</t>
        </is>
      </c>
      <c r="G221" s="192" t="inlineStr">
        <is>
          <t>Online</t>
        </is>
      </c>
      <c r="H221" s="192" t="inlineStr">
        <is>
          <t>varsity tickets</t>
        </is>
      </c>
      <c r="I221" s="193" t="n">
        <v>0.25</v>
      </c>
    </row>
    <row r="222" ht="15.75" customHeight="1" s="156">
      <c r="A222" s="192" t="inlineStr">
        <is>
          <t>June 2026</t>
        </is>
      </c>
      <c r="B222" s="192" t="inlineStr">
        <is>
          <t>Other</t>
        </is>
      </c>
      <c r="C222" s="192" t="inlineStr">
        <is>
          <t>varsity tickets</t>
        </is>
      </c>
      <c r="D222" s="192" t="inlineStr">
        <is>
          <t>2026-06-15</t>
        </is>
      </c>
      <c r="E222" s="192" t="inlineStr">
        <is>
          <t>—</t>
        </is>
      </c>
      <c r="F222" s="192" t="inlineStr">
        <is>
          <t>Harish Bhat</t>
        </is>
      </c>
      <c r="G222" s="192" t="inlineStr">
        <is>
          <t>Online</t>
        </is>
      </c>
      <c r="H222" s="192" t="inlineStr">
        <is>
          <t>varsity tickets</t>
        </is>
      </c>
      <c r="I222" s="193" t="n">
        <v>0.25</v>
      </c>
    </row>
    <row r="223" ht="15.75" customHeight="1" s="156">
      <c r="A223" s="192" t="inlineStr">
        <is>
          <t>June 2026</t>
        </is>
      </c>
      <c r="B223" s="192" t="inlineStr">
        <is>
          <t>Other</t>
        </is>
      </c>
      <c r="C223" s="192" t="inlineStr">
        <is>
          <t>varsity tickets</t>
        </is>
      </c>
      <c r="D223" s="192" t="inlineStr">
        <is>
          <t>2026-06-16</t>
        </is>
      </c>
      <c r="E223" s="192" t="inlineStr">
        <is>
          <t>—</t>
        </is>
      </c>
      <c r="F223" s="192" t="inlineStr">
        <is>
          <t>Harish Bhat</t>
        </is>
      </c>
      <c r="G223" s="192" t="inlineStr">
        <is>
          <t>Online</t>
        </is>
      </c>
      <c r="H223" s="192" t="inlineStr">
        <is>
          <t>varsity tickets</t>
        </is>
      </c>
      <c r="I223" s="193" t="n">
        <v>0.25</v>
      </c>
    </row>
    <row r="224" ht="15.75" customHeight="1" s="156">
      <c r="A224" s="192" t="inlineStr">
        <is>
          <t>June 2026</t>
        </is>
      </c>
      <c r="B224" s="192" t="inlineStr">
        <is>
          <t>Other</t>
        </is>
      </c>
      <c r="C224" s="192" t="inlineStr">
        <is>
          <t>varsity tickets</t>
        </is>
      </c>
      <c r="D224" s="192" t="inlineStr">
        <is>
          <t>2026-06-17</t>
        </is>
      </c>
      <c r="E224" s="192" t="inlineStr">
        <is>
          <t>—</t>
        </is>
      </c>
      <c r="F224" s="192" t="inlineStr">
        <is>
          <t>Harish Bhat</t>
        </is>
      </c>
      <c r="G224" s="192" t="inlineStr">
        <is>
          <t>Online</t>
        </is>
      </c>
      <c r="H224" s="192" t="inlineStr">
        <is>
          <t>varsity tickets</t>
        </is>
      </c>
      <c r="I224" s="193" t="n">
        <v>0.25</v>
      </c>
    </row>
    <row r="225" ht="15.75" customHeight="1" s="156">
      <c r="A225" s="192" t="inlineStr">
        <is>
          <t>June 2026</t>
        </is>
      </c>
      <c r="B225" s="192" t="inlineStr">
        <is>
          <t>Other</t>
        </is>
      </c>
      <c r="C225" s="192" t="inlineStr">
        <is>
          <t>varsity tickets</t>
        </is>
      </c>
      <c r="D225" s="192" t="inlineStr">
        <is>
          <t>2026-06-18</t>
        </is>
      </c>
      <c r="E225" s="192" t="inlineStr">
        <is>
          <t>—</t>
        </is>
      </c>
      <c r="F225" s="192" t="inlineStr">
        <is>
          <t>Harish Bhat</t>
        </is>
      </c>
      <c r="G225" s="192" t="inlineStr">
        <is>
          <t>Online</t>
        </is>
      </c>
      <c r="H225" s="192" t="inlineStr">
        <is>
          <t>varsity tickets</t>
        </is>
      </c>
      <c r="I225" s="193" t="n">
        <v>0.25</v>
      </c>
    </row>
    <row r="226" ht="15.75" customHeight="1" s="156">
      <c r="A226" s="192" t="inlineStr">
        <is>
          <t>June 2026</t>
        </is>
      </c>
      <c r="B226" s="192" t="inlineStr">
        <is>
          <t>Other</t>
        </is>
      </c>
      <c r="C226" s="192" t="inlineStr">
        <is>
          <t>varsity tickets</t>
        </is>
      </c>
      <c r="D226" s="192" t="inlineStr">
        <is>
          <t>2026-06-19</t>
        </is>
      </c>
      <c r="E226" s="192" t="inlineStr">
        <is>
          <t>—</t>
        </is>
      </c>
      <c r="F226" s="192" t="inlineStr">
        <is>
          <t>Harish Bhat</t>
        </is>
      </c>
      <c r="G226" s="192" t="inlineStr">
        <is>
          <t>Online</t>
        </is>
      </c>
      <c r="H226" s="192" t="inlineStr">
        <is>
          <t>varsity tickets</t>
        </is>
      </c>
      <c r="I226" s="193" t="n">
        <v>0.25</v>
      </c>
    </row>
    <row r="227" ht="15.75" customHeight="1" s="156">
      <c r="A227" s="192" t="inlineStr">
        <is>
          <t>June 2026</t>
        </is>
      </c>
      <c r="B227" s="192" t="inlineStr">
        <is>
          <t>Other</t>
        </is>
      </c>
      <c r="C227" s="192" t="inlineStr">
        <is>
          <t>varsity tickets</t>
        </is>
      </c>
      <c r="D227" s="192" t="inlineStr">
        <is>
          <t>2026-06-22</t>
        </is>
      </c>
      <c r="E227" s="192" t="inlineStr">
        <is>
          <t>—</t>
        </is>
      </c>
      <c r="F227" s="192" t="inlineStr">
        <is>
          <t>Harish Bhat</t>
        </is>
      </c>
      <c r="G227" s="192" t="inlineStr">
        <is>
          <t>Online</t>
        </is>
      </c>
      <c r="H227" s="192" t="inlineStr">
        <is>
          <t>varsity tickets</t>
        </is>
      </c>
      <c r="I227" s="193" t="n">
        <v>0.25</v>
      </c>
    </row>
    <row r="228" ht="15.75" customHeight="1" s="156">
      <c r="A228" s="192" t="inlineStr">
        <is>
          <t>June 2026</t>
        </is>
      </c>
      <c r="B228" s="192" t="inlineStr">
        <is>
          <t>Other</t>
        </is>
      </c>
      <c r="C228" s="192" t="inlineStr">
        <is>
          <t>varsity tickets</t>
        </is>
      </c>
      <c r="D228" s="192" t="inlineStr">
        <is>
          <t>2026-06-23</t>
        </is>
      </c>
      <c r="E228" s="192" t="inlineStr">
        <is>
          <t>—</t>
        </is>
      </c>
      <c r="F228" s="192" t="inlineStr">
        <is>
          <t>Harish Bhat</t>
        </is>
      </c>
      <c r="G228" s="192" t="inlineStr">
        <is>
          <t>Online</t>
        </is>
      </c>
      <c r="H228" s="192" t="inlineStr">
        <is>
          <t>varsity tickets</t>
        </is>
      </c>
      <c r="I228" s="193" t="n">
        <v>0.25</v>
      </c>
    </row>
    <row r="229" ht="15.75" customHeight="1" s="156">
      <c r="A229" s="192" t="inlineStr">
        <is>
          <t>June 2026</t>
        </is>
      </c>
      <c r="B229" s="192" t="inlineStr">
        <is>
          <t>Other</t>
        </is>
      </c>
      <c r="C229" s="192" t="inlineStr">
        <is>
          <t>varsity tickets</t>
        </is>
      </c>
      <c r="D229" s="192" t="inlineStr">
        <is>
          <t>2026-06-24</t>
        </is>
      </c>
      <c r="E229" s="192" t="inlineStr">
        <is>
          <t>—</t>
        </is>
      </c>
      <c r="F229" s="192" t="inlineStr">
        <is>
          <t>Harish Bhat</t>
        </is>
      </c>
      <c r="G229" s="192" t="inlineStr">
        <is>
          <t>Online</t>
        </is>
      </c>
      <c r="H229" s="192" t="inlineStr">
        <is>
          <t>varsity tickets</t>
        </is>
      </c>
      <c r="I229" s="193" t="n">
        <v>0.25</v>
      </c>
    </row>
    <row r="230" ht="15.75" customHeight="1" s="156">
      <c r="A230" s="192" t="inlineStr">
        <is>
          <t>June 2026</t>
        </is>
      </c>
      <c r="B230" s="192" t="inlineStr">
        <is>
          <t>Other</t>
        </is>
      </c>
      <c r="C230" s="192" t="inlineStr">
        <is>
          <t>varsity tickets</t>
        </is>
      </c>
      <c r="D230" s="192" t="inlineStr">
        <is>
          <t>2026-06-25</t>
        </is>
      </c>
      <c r="E230" s="192" t="inlineStr">
        <is>
          <t>—</t>
        </is>
      </c>
      <c r="F230" s="192" t="inlineStr">
        <is>
          <t>Harish Bhat</t>
        </is>
      </c>
      <c r="G230" s="192" t="inlineStr">
        <is>
          <t>Online</t>
        </is>
      </c>
      <c r="H230" s="192" t="inlineStr">
        <is>
          <t>varsity tickets</t>
        </is>
      </c>
      <c r="I230" s="193" t="n">
        <v>0.25</v>
      </c>
    </row>
    <row r="231" ht="15.75" customHeight="1" s="156">
      <c r="A231" s="192" t="inlineStr">
        <is>
          <t>June 2026</t>
        </is>
      </c>
      <c r="B231" s="192" t="inlineStr">
        <is>
          <t>Other</t>
        </is>
      </c>
      <c r="C231" s="192" t="inlineStr">
        <is>
          <t>varsity tickets</t>
        </is>
      </c>
      <c r="D231" s="192" t="inlineStr">
        <is>
          <t>2026-06-29</t>
        </is>
      </c>
      <c r="E231" s="192" t="inlineStr">
        <is>
          <t>—</t>
        </is>
      </c>
      <c r="F231" s="192" t="inlineStr">
        <is>
          <t>Harish Bhat</t>
        </is>
      </c>
      <c r="G231" s="192" t="inlineStr">
        <is>
          <t>Online</t>
        </is>
      </c>
      <c r="H231" s="192" t="inlineStr">
        <is>
          <t>varsity tickets</t>
        </is>
      </c>
      <c r="I231" s="193" t="n">
        <v>0.25</v>
      </c>
    </row>
    <row r="232" ht="15.75" customHeight="1" s="156">
      <c r="A232" s="192" t="inlineStr">
        <is>
          <t>June 2026</t>
        </is>
      </c>
      <c r="B232" s="192" t="inlineStr">
        <is>
          <t>Other</t>
        </is>
      </c>
      <c r="C232" s="192" t="inlineStr">
        <is>
          <t>varsity tickets</t>
        </is>
      </c>
      <c r="D232" s="192" t="inlineStr">
        <is>
          <t>2026-06-30</t>
        </is>
      </c>
      <c r="E232" s="192" t="inlineStr">
        <is>
          <t>—</t>
        </is>
      </c>
      <c r="F232" s="192" t="inlineStr">
        <is>
          <t>Harish Bhat</t>
        </is>
      </c>
      <c r="G232" s="192" t="inlineStr">
        <is>
          <t>Online</t>
        </is>
      </c>
      <c r="H232" s="192" t="inlineStr">
        <is>
          <t>varsity tickets</t>
        </is>
      </c>
      <c r="I232" s="193" t="n">
        <v>0.25</v>
      </c>
    </row>
    <row r="233" ht="15.75" customHeight="1" s="156">
      <c r="A233" s="194" t="inlineStr">
        <is>
          <t>July 2026</t>
        </is>
      </c>
      <c r="B233" s="194" t="inlineStr">
        <is>
          <t>Support Training</t>
        </is>
      </c>
      <c r="C233" s="194" t="inlineStr">
        <is>
          <t>Tickets team communicate 360 training</t>
        </is>
      </c>
      <c r="D233" s="194" t="inlineStr">
        <is>
          <t>2026-07-01</t>
        </is>
      </c>
      <c r="E233" s="194" t="inlineStr">
        <is>
          <t>—</t>
        </is>
      </c>
      <c r="F233" s="194" t="inlineStr">
        <is>
          <t>Freeda Reshma Dsouza</t>
        </is>
      </c>
      <c r="G233" s="194" t="inlineStr">
        <is>
          <t>Offline</t>
        </is>
      </c>
      <c r="H233" s="194" t="inlineStr">
        <is>
          <t>Tickets team communicate 360 training</t>
        </is>
      </c>
      <c r="I233" s="195" t="n">
        <v>2.5</v>
      </c>
    </row>
    <row r="234" ht="15.75" customHeight="1" s="156">
      <c r="A234" s="194" t="inlineStr">
        <is>
          <t>July 2026</t>
        </is>
      </c>
      <c r="B234" s="194" t="inlineStr">
        <is>
          <t>Support Training</t>
        </is>
      </c>
      <c r="C234" s="194" t="inlineStr">
        <is>
          <t>Tickets team communicate 360 training</t>
        </is>
      </c>
      <c r="D234" s="194" t="inlineStr">
        <is>
          <t>2026-07-01</t>
        </is>
      </c>
      <c r="E234" s="194" t="inlineStr">
        <is>
          <t>—</t>
        </is>
      </c>
      <c r="F234" s="194" t="inlineStr">
        <is>
          <t>Freeda Reshma Dsouza</t>
        </is>
      </c>
      <c r="G234" s="194" t="inlineStr">
        <is>
          <t>Offline</t>
        </is>
      </c>
      <c r="H234" s="194" t="inlineStr">
        <is>
          <t>Tickets team communicate 360 training</t>
        </is>
      </c>
      <c r="I234" s="195" t="n">
        <v>3.5</v>
      </c>
    </row>
    <row r="235" ht="15.75" customHeight="1" s="156">
      <c r="A235" s="192" t="inlineStr">
        <is>
          <t>July 2026</t>
        </is>
      </c>
      <c r="B235" s="192" t="inlineStr">
        <is>
          <t>Support Training</t>
        </is>
      </c>
      <c r="C235" s="192" t="inlineStr">
        <is>
          <t>Tickets team P&amp;S reviewing</t>
        </is>
      </c>
      <c r="D235" s="192" t="inlineStr">
        <is>
          <t>2026-07-01</t>
        </is>
      </c>
      <c r="E235" s="192" t="inlineStr">
        <is>
          <t>—</t>
        </is>
      </c>
      <c r="F235" s="192" t="inlineStr">
        <is>
          <t>Girish A</t>
        </is>
      </c>
      <c r="G235" s="192" t="inlineStr">
        <is>
          <t>Online</t>
        </is>
      </c>
      <c r="H235" s="192" t="inlineStr">
        <is>
          <t>Tickets team P&amp;S reviewing</t>
        </is>
      </c>
      <c r="I235" s="193" t="n">
        <v>2.5</v>
      </c>
    </row>
    <row r="236" ht="15.75" customHeight="1" s="156">
      <c r="A236" s="192" t="inlineStr">
        <is>
          <t>July 2026</t>
        </is>
      </c>
      <c r="B236" s="192" t="inlineStr">
        <is>
          <t>Support Training</t>
        </is>
      </c>
      <c r="C236" s="192" t="inlineStr">
        <is>
          <t>Scheduling the email for the previous batch for Comm360</t>
        </is>
      </c>
      <c r="D236" s="192" t="inlineStr">
        <is>
          <t>2026-07-01</t>
        </is>
      </c>
      <c r="E236" s="192" t="inlineStr">
        <is>
          <t>—</t>
        </is>
      </c>
      <c r="F236" s="192" t="inlineStr">
        <is>
          <t>Girish A</t>
        </is>
      </c>
      <c r="G236" s="192" t="inlineStr">
        <is>
          <t>Online</t>
        </is>
      </c>
      <c r="H236" s="192" t="inlineStr">
        <is>
          <t>Scheduling the email for the previous batch for Comm360</t>
        </is>
      </c>
      <c r="I236" s="193" t="n">
        <v>2</v>
      </c>
    </row>
    <row r="237" ht="15.75" customHeight="1" s="156">
      <c r="A237" s="192" t="inlineStr">
        <is>
          <t>July 2026</t>
        </is>
      </c>
      <c r="B237" s="192" t="inlineStr">
        <is>
          <t>Other</t>
        </is>
      </c>
      <c r="C237" s="192" t="inlineStr">
        <is>
          <t>LMS tool testing</t>
        </is>
      </c>
      <c r="D237" s="192" t="inlineStr">
        <is>
          <t>2026-07-02</t>
        </is>
      </c>
      <c r="E237" s="192" t="inlineStr">
        <is>
          <t>—</t>
        </is>
      </c>
      <c r="F237" s="192" t="inlineStr">
        <is>
          <t>Girish A</t>
        </is>
      </c>
      <c r="G237" s="192" t="inlineStr">
        <is>
          <t>Online</t>
        </is>
      </c>
      <c r="H237" s="192" t="inlineStr">
        <is>
          <t>LMS tool testing</t>
        </is>
      </c>
      <c r="I237" s="193" t="n">
        <v>1.5</v>
      </c>
    </row>
    <row r="238" ht="15.75" customHeight="1" s="156">
      <c r="A238" s="192" t="inlineStr">
        <is>
          <t>July 2026</t>
        </is>
      </c>
      <c r="B238" s="192" t="inlineStr">
        <is>
          <t>Other</t>
        </is>
      </c>
      <c r="C238" s="192" t="inlineStr">
        <is>
          <t>LMS tool testing</t>
        </is>
      </c>
      <c r="D238" s="192" t="inlineStr">
        <is>
          <t>2026-07-03</t>
        </is>
      </c>
      <c r="E238" s="192" t="inlineStr">
        <is>
          <t>—</t>
        </is>
      </c>
      <c r="F238" s="192" t="inlineStr">
        <is>
          <t>Girish A</t>
        </is>
      </c>
      <c r="G238" s="192" t="inlineStr">
        <is>
          <t>Online</t>
        </is>
      </c>
      <c r="H238" s="192" t="inlineStr">
        <is>
          <t>LMS tool testing</t>
        </is>
      </c>
      <c r="I238" s="193" t="n">
        <v>1</v>
      </c>
    </row>
    <row r="239" ht="15.75" customHeight="1" s="156">
      <c r="A239" s="192" t="inlineStr">
        <is>
          <t>July 2026</t>
        </is>
      </c>
      <c r="B239" s="192" t="inlineStr">
        <is>
          <t>Support Training</t>
        </is>
      </c>
      <c r="C239" s="192" t="inlineStr">
        <is>
          <t>NRI OJT</t>
        </is>
      </c>
      <c r="D239" s="192" t="inlineStr">
        <is>
          <t>2026-07-02</t>
        </is>
      </c>
      <c r="E239" s="192" t="inlineStr">
        <is>
          <t>—</t>
        </is>
      </c>
      <c r="F239" s="192" t="inlineStr">
        <is>
          <t>Girish A</t>
        </is>
      </c>
      <c r="G239" s="192" t="inlineStr">
        <is>
          <t>Online</t>
        </is>
      </c>
      <c r="H239" s="192" t="inlineStr">
        <is>
          <t>NRI OJT</t>
        </is>
      </c>
      <c r="I239" s="193" t="n">
        <v>2</v>
      </c>
    </row>
    <row r="240" ht="15.75" customHeight="1" s="156">
      <c r="A240" s="192" t="inlineStr">
        <is>
          <t>July 2026</t>
        </is>
      </c>
      <c r="B240" s="192" t="inlineStr">
        <is>
          <t>Other</t>
        </is>
      </c>
      <c r="C240" s="192" t="inlineStr">
        <is>
          <t>SOP meeting</t>
        </is>
      </c>
      <c r="D240" s="192" t="inlineStr">
        <is>
          <t>2026-07-03</t>
        </is>
      </c>
      <c r="E240" s="192" t="inlineStr">
        <is>
          <t>—</t>
        </is>
      </c>
      <c r="F240" s="192" t="inlineStr">
        <is>
          <t>Girish A</t>
        </is>
      </c>
      <c r="G240" s="192" t="inlineStr">
        <is>
          <t>Online</t>
        </is>
      </c>
      <c r="H240" s="192" t="inlineStr">
        <is>
          <t>SOP meeting</t>
        </is>
      </c>
      <c r="I240" s="193" t="n">
        <v>1.5</v>
      </c>
    </row>
    <row r="241" ht="15.75" customHeight="1" s="156">
      <c r="A241" s="192" t="inlineStr">
        <is>
          <t>July 2026</t>
        </is>
      </c>
      <c r="B241" s="192" t="inlineStr">
        <is>
          <t>Other</t>
        </is>
      </c>
      <c r="C241" s="192" t="inlineStr">
        <is>
          <t>SOP meeting</t>
        </is>
      </c>
      <c r="D241" s="192" t="inlineStr">
        <is>
          <t>2026-07-03</t>
        </is>
      </c>
      <c r="E241" s="192" t="inlineStr">
        <is>
          <t>—</t>
        </is>
      </c>
      <c r="F241" s="192" t="inlineStr">
        <is>
          <t>Harish Bhat</t>
        </is>
      </c>
      <c r="G241" s="192" t="inlineStr">
        <is>
          <t>Online</t>
        </is>
      </c>
      <c r="H241" s="192" t="inlineStr">
        <is>
          <t>SOP meeting</t>
        </is>
      </c>
      <c r="I241" s="193" t="n">
        <v>1.5</v>
      </c>
    </row>
    <row r="242" ht="15.75" customHeight="1" s="156">
      <c r="A242" s="194" t="inlineStr">
        <is>
          <t>July 2026</t>
        </is>
      </c>
      <c r="B242" s="194" t="inlineStr">
        <is>
          <t>Other</t>
        </is>
      </c>
      <c r="C242" s="194" t="inlineStr">
        <is>
          <t>SOP Preparation</t>
        </is>
      </c>
      <c r="D242" s="194" t="inlineStr">
        <is>
          <t>2026-07-03</t>
        </is>
      </c>
      <c r="E242" s="194" t="inlineStr">
        <is>
          <t>—</t>
        </is>
      </c>
      <c r="F242" s="194" t="inlineStr">
        <is>
          <t>Harish Bhat</t>
        </is>
      </c>
      <c r="G242" s="194" t="inlineStr">
        <is>
          <t>Offline</t>
        </is>
      </c>
      <c r="H242" s="194" t="inlineStr">
        <is>
          <t>SOP Preparation</t>
        </is>
      </c>
      <c r="I242" s="195" t="n">
        <v>1</v>
      </c>
    </row>
    <row r="243" ht="15.75" customHeight="1" s="156">
      <c r="A243" s="194" t="inlineStr">
        <is>
          <t>July 2026</t>
        </is>
      </c>
      <c r="B243" s="194" t="inlineStr">
        <is>
          <t>Other</t>
        </is>
      </c>
      <c r="C243" s="194" t="inlineStr">
        <is>
          <t>Refresher training data segregation</t>
        </is>
      </c>
      <c r="D243" s="194" t="inlineStr">
        <is>
          <t>2026-07-03</t>
        </is>
      </c>
      <c r="E243" s="194" t="inlineStr">
        <is>
          <t>—</t>
        </is>
      </c>
      <c r="F243" s="194" t="inlineStr">
        <is>
          <t>Harish Bhat</t>
        </is>
      </c>
      <c r="G243" s="194" t="inlineStr">
        <is>
          <t>Offline</t>
        </is>
      </c>
      <c r="H243" s="194" t="inlineStr">
        <is>
          <t>Refresher training data segregation</t>
        </is>
      </c>
      <c r="I243" s="195" t="n">
        <v>2</v>
      </c>
    </row>
    <row r="244" ht="15.75" customHeight="1" s="156">
      <c r="A244" s="192" t="inlineStr">
        <is>
          <t>July 2026</t>
        </is>
      </c>
      <c r="B244" s="192" t="inlineStr">
        <is>
          <t>Assessment</t>
        </is>
      </c>
      <c r="C244" s="192" t="inlineStr">
        <is>
          <t>Tickets team P&amp;S review</t>
        </is>
      </c>
      <c r="D244" s="192" t="inlineStr">
        <is>
          <t>2026-07-01</t>
        </is>
      </c>
      <c r="E244" s="192" t="inlineStr">
        <is>
          <t>—</t>
        </is>
      </c>
      <c r="F244" s="192" t="inlineStr">
        <is>
          <t>Harish Bhat</t>
        </is>
      </c>
      <c r="G244" s="192" t="inlineStr">
        <is>
          <t>Online</t>
        </is>
      </c>
      <c r="H244" s="192" t="inlineStr">
        <is>
          <t>Tickets team P&amp;S review</t>
        </is>
      </c>
      <c r="I244" s="193" t="n">
        <v>3</v>
      </c>
    </row>
    <row r="245" ht="15.75" customHeight="1" s="156">
      <c r="A245" s="194" t="inlineStr">
        <is>
          <t>July 2026</t>
        </is>
      </c>
      <c r="B245" s="194" t="inlineStr">
        <is>
          <t>Other</t>
        </is>
      </c>
      <c r="C245" s="194" t="inlineStr">
        <is>
          <t>Discussion on refresher</t>
        </is>
      </c>
      <c r="D245" s="194" t="inlineStr">
        <is>
          <t>2026-07-06</t>
        </is>
      </c>
      <c r="E245" s="194" t="inlineStr">
        <is>
          <t>—</t>
        </is>
      </c>
      <c r="F245" s="194" t="inlineStr">
        <is>
          <t>Harish Bhat</t>
        </is>
      </c>
      <c r="G245" s="194" t="inlineStr">
        <is>
          <t>Offline</t>
        </is>
      </c>
      <c r="H245" s="194" t="inlineStr">
        <is>
          <t>Discussion on refresher</t>
        </is>
      </c>
      <c r="I245" s="195" t="n">
        <v>2.5</v>
      </c>
    </row>
    <row r="246" ht="15.75" customHeight="1" s="156">
      <c r="A246" s="194" t="inlineStr">
        <is>
          <t>July 2026</t>
        </is>
      </c>
      <c r="B246" s="194" t="inlineStr">
        <is>
          <t>Support Training</t>
        </is>
      </c>
      <c r="C246" s="194" t="inlineStr">
        <is>
          <t>Ticket's team Tickets team communicate 360 training (mock ticket)</t>
        </is>
      </c>
      <c r="D246" s="194" t="inlineStr">
        <is>
          <t>2026-07-02</t>
        </is>
      </c>
      <c r="E246" s="194" t="inlineStr">
        <is>
          <t>—</t>
        </is>
      </c>
      <c r="F246" s="194" t="inlineStr">
        <is>
          <t>Harish Bhat</t>
        </is>
      </c>
      <c r="G246" s="194" t="inlineStr">
        <is>
          <t>Offline</t>
        </is>
      </c>
      <c r="H246" s="194" t="inlineStr">
        <is>
          <t>Ticket's team Tickets team communicate 360 training (mock ticket)</t>
        </is>
      </c>
      <c r="I246" s="195" t="n">
        <v>2.5</v>
      </c>
    </row>
    <row r="247" ht="15.75" customHeight="1" s="156">
      <c r="A247" s="194" t="inlineStr">
        <is>
          <t>July 2026</t>
        </is>
      </c>
      <c r="B247" s="194" t="inlineStr">
        <is>
          <t>Support Training</t>
        </is>
      </c>
      <c r="C247" s="194" t="inlineStr">
        <is>
          <t>Ticket's team Tickets team communicate 360 training (mock ticket)</t>
        </is>
      </c>
      <c r="D247" s="194" t="inlineStr">
        <is>
          <t>2026-07-02</t>
        </is>
      </c>
      <c r="E247" s="194" t="inlineStr">
        <is>
          <t>—</t>
        </is>
      </c>
      <c r="F247" s="194" t="inlineStr">
        <is>
          <t>Harish Bhat</t>
        </is>
      </c>
      <c r="G247" s="194" t="inlineStr">
        <is>
          <t>Offline</t>
        </is>
      </c>
      <c r="H247" s="194" t="inlineStr">
        <is>
          <t>Ticket's team Tickets team communicate 360 training (mock ticket)</t>
        </is>
      </c>
      <c r="I247" s="195" t="n">
        <v>2.5</v>
      </c>
    </row>
    <row r="248" ht="15.75" customHeight="1" s="156">
      <c r="A248" s="192" t="inlineStr">
        <is>
          <t>July 2026</t>
        </is>
      </c>
      <c r="B248" s="192" t="inlineStr">
        <is>
          <t>Other</t>
        </is>
      </c>
      <c r="C248" s="192" t="inlineStr">
        <is>
          <t>varsity tickets</t>
        </is>
      </c>
      <c r="D248" s="192" t="inlineStr">
        <is>
          <t>2026-07-01</t>
        </is>
      </c>
      <c r="E248" s="192" t="inlineStr">
        <is>
          <t>—</t>
        </is>
      </c>
      <c r="F248" s="192" t="inlineStr">
        <is>
          <t>Harish Bhat</t>
        </is>
      </c>
      <c r="G248" s="192" t="inlineStr">
        <is>
          <t>Online</t>
        </is>
      </c>
      <c r="H248" s="192" t="inlineStr">
        <is>
          <t>varsity tickets</t>
        </is>
      </c>
      <c r="I248" s="193" t="n">
        <v>0.25</v>
      </c>
    </row>
    <row r="249" ht="15.75" customHeight="1" s="156">
      <c r="A249" s="192" t="inlineStr">
        <is>
          <t>July 2026</t>
        </is>
      </c>
      <c r="B249" s="192" t="inlineStr">
        <is>
          <t>Other</t>
        </is>
      </c>
      <c r="C249" s="192" t="inlineStr">
        <is>
          <t>varsity tickets</t>
        </is>
      </c>
      <c r="D249" s="192" t="inlineStr">
        <is>
          <t>2026-07-02</t>
        </is>
      </c>
      <c r="E249" s="192" t="inlineStr">
        <is>
          <t>—</t>
        </is>
      </c>
      <c r="F249" s="192" t="inlineStr">
        <is>
          <t>Harish Bhat</t>
        </is>
      </c>
      <c r="G249" s="192" t="inlineStr">
        <is>
          <t>Online</t>
        </is>
      </c>
      <c r="H249" s="192" t="inlineStr">
        <is>
          <t>varsity tickets</t>
        </is>
      </c>
      <c r="I249" s="193" t="n">
        <v>0.25</v>
      </c>
    </row>
    <row r="250" ht="15.75" customHeight="1" s="156">
      <c r="A250" s="192" t="inlineStr">
        <is>
          <t>July 2026</t>
        </is>
      </c>
      <c r="B250" s="192" t="inlineStr">
        <is>
          <t>Other</t>
        </is>
      </c>
      <c r="C250" s="192" t="inlineStr">
        <is>
          <t>varsity tickets</t>
        </is>
      </c>
      <c r="D250" s="192" t="inlineStr">
        <is>
          <t>2026-07-03</t>
        </is>
      </c>
      <c r="E250" s="192" t="inlineStr">
        <is>
          <t>—</t>
        </is>
      </c>
      <c r="F250" s="192" t="inlineStr">
        <is>
          <t>Harish Bhat</t>
        </is>
      </c>
      <c r="G250" s="192" t="inlineStr">
        <is>
          <t>Online</t>
        </is>
      </c>
      <c r="H250" s="192" t="inlineStr">
        <is>
          <t>varsity tickets</t>
        </is>
      </c>
      <c r="I250" s="193" t="n">
        <v>0.25</v>
      </c>
    </row>
    <row r="251" ht="15.75" customHeight="1" s="156">
      <c r="A251" s="192" t="inlineStr">
        <is>
          <t>July 2026</t>
        </is>
      </c>
      <c r="B251" s="192" t="inlineStr">
        <is>
          <t>Support Training</t>
        </is>
      </c>
      <c r="C251" s="192" t="inlineStr">
        <is>
          <t>Drawing out training Need from the communicate 360 consolidated file</t>
        </is>
      </c>
      <c r="D251" s="192" t="inlineStr">
        <is>
          <t>2026-07-16</t>
        </is>
      </c>
      <c r="E251" s="192" t="inlineStr">
        <is>
          <t>—</t>
        </is>
      </c>
      <c r="F251" s="192" t="inlineStr">
        <is>
          <t>Freeda Reshma Dsouza</t>
        </is>
      </c>
      <c r="G251" s="192" t="inlineStr">
        <is>
          <t>Online</t>
        </is>
      </c>
      <c r="H251" s="192" t="inlineStr">
        <is>
          <t>TNI Prepartiion for Communicate 360</t>
        </is>
      </c>
      <c r="I251" s="193" t="n">
        <v>3.5</v>
      </c>
    </row>
    <row r="252" ht="15.75" customHeight="1" s="156">
      <c r="A252" s="192" t="inlineStr">
        <is>
          <t>July 2026</t>
        </is>
      </c>
      <c r="B252" s="192" t="inlineStr">
        <is>
          <t>Support Training</t>
        </is>
      </c>
      <c r="C252" s="192" t="inlineStr">
        <is>
          <t>Drawing out training Need from the communicate 360 consolidated file</t>
        </is>
      </c>
      <c r="D252" s="192" t="inlineStr">
        <is>
          <t>2026-07-17</t>
        </is>
      </c>
      <c r="E252" s="192" t="inlineStr">
        <is>
          <t>—</t>
        </is>
      </c>
      <c r="F252" s="192" t="inlineStr">
        <is>
          <t>Freeda Reshma Dsouza</t>
        </is>
      </c>
      <c r="G252" s="192" t="inlineStr">
        <is>
          <t>Online</t>
        </is>
      </c>
      <c r="H252" s="192" t="inlineStr">
        <is>
          <t>TNI Prepartiion for Communicate 360</t>
        </is>
      </c>
      <c r="I252" s="193" t="n">
        <v>2</v>
      </c>
    </row>
    <row r="253" ht="15.75" customHeight="1" s="156">
      <c r="A253" s="192" t="inlineStr">
        <is>
          <t>July 2026</t>
        </is>
      </c>
      <c r="B253" s="192" t="inlineStr">
        <is>
          <t>Other</t>
        </is>
      </c>
      <c r="C253" s="192" t="inlineStr">
        <is>
          <t>Candidates Interview</t>
        </is>
      </c>
      <c r="D253" s="192" t="inlineStr">
        <is>
          <t>2026-07-23</t>
        </is>
      </c>
      <c r="E253" s="192" t="inlineStr">
        <is>
          <t>—</t>
        </is>
      </c>
      <c r="F253" s="192" t="inlineStr">
        <is>
          <t>Harish Bhat</t>
        </is>
      </c>
      <c r="G253" s="192" t="inlineStr">
        <is>
          <t>Online</t>
        </is>
      </c>
      <c r="H253" s="192" t="inlineStr">
        <is>
          <t>Candidates Interview</t>
        </is>
      </c>
      <c r="I253" s="193" t="n">
        <v>1</v>
      </c>
    </row>
    <row r="254" ht="15.75" customHeight="1" s="156">
      <c r="A254" s="192" t="inlineStr">
        <is>
          <t>July 2026</t>
        </is>
      </c>
      <c r="B254" s="192" t="inlineStr">
        <is>
          <t>Support Training</t>
        </is>
      </c>
      <c r="C254" s="192" t="inlineStr">
        <is>
          <t>Interview - New Hire</t>
        </is>
      </c>
      <c r="D254" s="192" t="inlineStr">
        <is>
          <t>2026-07-24</t>
        </is>
      </c>
      <c r="E254" s="192" t="inlineStr">
        <is>
          <t>—</t>
        </is>
      </c>
      <c r="F254" s="192" t="inlineStr">
        <is>
          <t>Freeda Reshma Dsouza</t>
        </is>
      </c>
      <c r="G254" s="192" t="inlineStr">
        <is>
          <t>Online</t>
        </is>
      </c>
      <c r="H254" s="192" t="inlineStr">
        <is>
          <t>Interview</t>
        </is>
      </c>
      <c r="I254" s="193" t="n">
        <v>1</v>
      </c>
    </row>
    <row r="255" ht="15.75" customHeight="1" s="156">
      <c r="A255" s="192" t="inlineStr">
        <is>
          <t>July 2026</t>
        </is>
      </c>
      <c r="B255" s="192" t="inlineStr">
        <is>
          <t>Other</t>
        </is>
      </c>
      <c r="C255" s="192" t="inlineStr">
        <is>
          <t>Candidates Interview</t>
        </is>
      </c>
      <c r="D255" s="192" t="inlineStr">
        <is>
          <t>2026-07-22</t>
        </is>
      </c>
      <c r="E255" s="192" t="inlineStr">
        <is>
          <t>—</t>
        </is>
      </c>
      <c r="F255" s="192" t="inlineStr">
        <is>
          <t>Harish Bhat</t>
        </is>
      </c>
      <c r="G255" s="192" t="inlineStr">
        <is>
          <t>Online</t>
        </is>
      </c>
      <c r="H255" s="192" t="inlineStr">
        <is>
          <t>Candidates Interview</t>
        </is>
      </c>
      <c r="I255" s="193" t="n">
        <v>1</v>
      </c>
    </row>
    <row r="256" ht="15.75" customHeight="1" s="156">
      <c r="A256" s="192" t="inlineStr">
        <is>
          <t>July 2026</t>
        </is>
      </c>
      <c r="B256" s="192" t="inlineStr">
        <is>
          <t>Support Training</t>
        </is>
      </c>
      <c r="C256" s="192" t="inlineStr">
        <is>
          <t>Interview- New Hire</t>
        </is>
      </c>
      <c r="D256" s="192" t="inlineStr">
        <is>
          <t>2026-07-24</t>
        </is>
      </c>
      <c r="E256" s="192" t="inlineStr">
        <is>
          <t>—</t>
        </is>
      </c>
      <c r="F256" s="192" t="inlineStr">
        <is>
          <t>Freeda Reshma Dsouza</t>
        </is>
      </c>
      <c r="G256" s="192" t="inlineStr">
        <is>
          <t>Online</t>
        </is>
      </c>
      <c r="H256" s="192" t="inlineStr">
        <is>
          <t>Interview</t>
        </is>
      </c>
      <c r="I256" s="193" t="n">
        <v>1</v>
      </c>
    </row>
    <row r="257" ht="15.75" customHeight="1" s="156">
      <c r="A257" s="192" t="inlineStr">
        <is>
          <t>July 2026</t>
        </is>
      </c>
      <c r="B257" s="192" t="inlineStr">
        <is>
          <t>Support Training</t>
        </is>
      </c>
      <c r="C257" s="192" t="inlineStr">
        <is>
          <t>Interview- New Hire</t>
        </is>
      </c>
      <c r="D257" s="192" t="inlineStr">
        <is>
          <t>2026-07-23</t>
        </is>
      </c>
      <c r="E257" s="192" t="inlineStr">
        <is>
          <t>—</t>
        </is>
      </c>
      <c r="F257" s="192" t="inlineStr">
        <is>
          <t>Freeda Reshma Dsouza</t>
        </is>
      </c>
      <c r="G257" s="192" t="inlineStr">
        <is>
          <t>Online</t>
        </is>
      </c>
      <c r="H257" s="192" t="inlineStr">
        <is>
          <t>Interview</t>
        </is>
      </c>
      <c r="I257" s="193" t="n">
        <v>1</v>
      </c>
    </row>
    <row r="258" ht="15.75" customHeight="1" s="156">
      <c r="A258" s="192" t="inlineStr">
        <is>
          <t>July 2026</t>
        </is>
      </c>
      <c r="B258" s="192" t="inlineStr">
        <is>
          <t>Other</t>
        </is>
      </c>
      <c r="C258" s="192" t="inlineStr">
        <is>
          <t>Candidates Interview</t>
        </is>
      </c>
      <c r="D258" s="192" t="inlineStr">
        <is>
          <t>2026-07-21</t>
        </is>
      </c>
      <c r="E258" s="192" t="inlineStr">
        <is>
          <t>—</t>
        </is>
      </c>
      <c r="F258" s="192" t="inlineStr">
        <is>
          <t>Harish Bhat</t>
        </is>
      </c>
      <c r="G258" s="192" t="inlineStr">
        <is>
          <t>Online</t>
        </is>
      </c>
      <c r="H258" s="192" t="inlineStr">
        <is>
          <t>Candidates Interview</t>
        </is>
      </c>
      <c r="I258" s="193" t="n">
        <v>1</v>
      </c>
    </row>
    <row r="259" ht="15.75" customHeight="1" s="156">
      <c r="A259" s="192" t="inlineStr">
        <is>
          <t>July 2026</t>
        </is>
      </c>
      <c r="B259" s="192" t="inlineStr">
        <is>
          <t>Support Training</t>
        </is>
      </c>
      <c r="C259" s="192" t="inlineStr">
        <is>
          <t>Interview- New Hire</t>
        </is>
      </c>
      <c r="D259" s="192" t="inlineStr">
        <is>
          <t>2026-07-22</t>
        </is>
      </c>
      <c r="E259" s="192" t="inlineStr">
        <is>
          <t>—</t>
        </is>
      </c>
      <c r="F259" s="192" t="inlineStr">
        <is>
          <t>Freeda Reshma Dsouza</t>
        </is>
      </c>
      <c r="G259" s="192" t="inlineStr">
        <is>
          <t>Online</t>
        </is>
      </c>
      <c r="H259" s="192" t="inlineStr">
        <is>
          <t>Interview</t>
        </is>
      </c>
      <c r="I259" s="193" t="n">
        <v>1</v>
      </c>
    </row>
    <row r="260" ht="15.75" customHeight="1" s="156">
      <c r="A260" s="192" t="inlineStr">
        <is>
          <t>July 2026</t>
        </is>
      </c>
      <c r="B260" s="192" t="inlineStr">
        <is>
          <t>Support Training</t>
        </is>
      </c>
      <c r="C260" s="192" t="inlineStr">
        <is>
          <t>Interview- New Hire</t>
        </is>
      </c>
      <c r="D260" s="192" t="inlineStr">
        <is>
          <t>2026-07-20</t>
        </is>
      </c>
      <c r="E260" s="192" t="inlineStr">
        <is>
          <t>—</t>
        </is>
      </c>
      <c r="F260" s="192" t="inlineStr">
        <is>
          <t>Freeda Reshma Dsouza</t>
        </is>
      </c>
      <c r="G260" s="192" t="inlineStr">
        <is>
          <t>Online</t>
        </is>
      </c>
      <c r="H260" s="192" t="inlineStr">
        <is>
          <t>Interview</t>
        </is>
      </c>
      <c r="I260" s="193" t="n">
        <v>1</v>
      </c>
    </row>
    <row r="261" ht="15.75" customHeight="1" s="156">
      <c r="A261" s="192" t="inlineStr">
        <is>
          <t>July 2026</t>
        </is>
      </c>
      <c r="B261" s="192" t="inlineStr">
        <is>
          <t>Other</t>
        </is>
      </c>
      <c r="C261" s="192" t="inlineStr">
        <is>
          <t>NRI Session planner discussion</t>
        </is>
      </c>
      <c r="D261" s="192" t="inlineStr">
        <is>
          <t>2026-07-24</t>
        </is>
      </c>
      <c r="E261" s="192" t="inlineStr">
        <is>
          <t>—</t>
        </is>
      </c>
      <c r="F261" s="192" t="inlineStr">
        <is>
          <t>Harish Bhat</t>
        </is>
      </c>
      <c r="G261" s="192" t="inlineStr">
        <is>
          <t>Online</t>
        </is>
      </c>
      <c r="H261" s="192" t="inlineStr">
        <is>
          <t>NRI Session planner discussion</t>
        </is>
      </c>
      <c r="I261" s="193" t="n">
        <v>1</v>
      </c>
    </row>
    <row r="262" ht="15.75" customHeight="1" s="156">
      <c r="A262" s="192" t="inlineStr">
        <is>
          <t>July 2026</t>
        </is>
      </c>
      <c r="B262" s="192" t="inlineStr">
        <is>
          <t>Support Training</t>
        </is>
      </c>
      <c r="C262" s="192" t="inlineStr">
        <is>
          <t>Candidates Interview</t>
        </is>
      </c>
      <c r="D262" s="192" t="inlineStr">
        <is>
          <t>2026-07-24</t>
        </is>
      </c>
      <c r="E262" s="192" t="inlineStr">
        <is>
          <t>—</t>
        </is>
      </c>
      <c r="F262" s="192" t="inlineStr">
        <is>
          <t>Harish Bhat</t>
        </is>
      </c>
      <c r="G262" s="192" t="inlineStr">
        <is>
          <t>Online</t>
        </is>
      </c>
      <c r="H262" s="192" t="inlineStr">
        <is>
          <t>Candidates Interview</t>
        </is>
      </c>
      <c r="I262" s="193" t="n">
        <v>1</v>
      </c>
    </row>
    <row r="263" ht="15.75" customHeight="1" s="156">
      <c r="A263" s="192" t="inlineStr">
        <is>
          <t>July 2026</t>
        </is>
      </c>
      <c r="B263" s="192" t="inlineStr">
        <is>
          <t>Support Training</t>
        </is>
      </c>
      <c r="C263" s="192" t="inlineStr">
        <is>
          <t>Candidates Interview</t>
        </is>
      </c>
      <c r="D263" s="192" t="inlineStr">
        <is>
          <t>2026-07-24</t>
        </is>
      </c>
      <c r="E263" s="192" t="inlineStr">
        <is>
          <t>—</t>
        </is>
      </c>
      <c r="F263" s="192" t="inlineStr">
        <is>
          <t>Harish Bhat</t>
        </is>
      </c>
      <c r="G263" s="192" t="inlineStr">
        <is>
          <t>Online</t>
        </is>
      </c>
      <c r="H263" s="192" t="inlineStr">
        <is>
          <t>Candidates Interview</t>
        </is>
      </c>
      <c r="I263" s="193" t="n">
        <v>1</v>
      </c>
    </row>
    <row r="264" ht="15.75" customHeight="1" s="156">
      <c r="A264" s="192" t="inlineStr">
        <is>
          <t>July 2026</t>
        </is>
      </c>
      <c r="B264" s="192" t="inlineStr">
        <is>
          <t>Other</t>
        </is>
      </c>
      <c r="C264" s="192" t="inlineStr">
        <is>
          <t>QIP Manager meeting</t>
        </is>
      </c>
      <c r="D264" s="192" t="inlineStr">
        <is>
          <t>2026-07-24</t>
        </is>
      </c>
      <c r="E264" s="192" t="inlineStr">
        <is>
          <t>—</t>
        </is>
      </c>
      <c r="F264" s="192" t="inlineStr">
        <is>
          <t>Harish Bhat</t>
        </is>
      </c>
      <c r="G264" s="192" t="inlineStr">
        <is>
          <t>Online</t>
        </is>
      </c>
      <c r="H264" s="192" t="inlineStr">
        <is>
          <t>QIP Manager meeting</t>
        </is>
      </c>
      <c r="I264" s="193" t="n">
        <v>1.1</v>
      </c>
    </row>
    <row r="265" ht="15.75" customHeight="1" s="156">
      <c r="A265" s="192" t="inlineStr">
        <is>
          <t>July 2026</t>
        </is>
      </c>
      <c r="B265" s="192" t="inlineStr">
        <is>
          <t>Support Training</t>
        </is>
      </c>
      <c r="C265" s="192" t="inlineStr">
        <is>
          <t>3L &amp; Closing auction settlement session</t>
        </is>
      </c>
      <c r="D265" s="192" t="inlineStr">
        <is>
          <t>2026-07-24</t>
        </is>
      </c>
      <c r="E265" s="192" t="inlineStr">
        <is>
          <t>—</t>
        </is>
      </c>
      <c r="F265" s="192" t="inlineStr">
        <is>
          <t>Harish Bhat</t>
        </is>
      </c>
      <c r="G265" s="192" t="inlineStr">
        <is>
          <t>Online</t>
        </is>
      </c>
      <c r="H265" s="192" t="inlineStr">
        <is>
          <t>3L &amp; Closing auction settlement session</t>
        </is>
      </c>
      <c r="I265" s="193" t="n">
        <v>1</v>
      </c>
    </row>
    <row r="266" ht="15.75" customHeight="1" s="156">
      <c r="A266" s="194" t="inlineStr">
        <is>
          <t>July 2026</t>
        </is>
      </c>
      <c r="B266" s="194" t="inlineStr">
        <is>
          <t>Support Training</t>
        </is>
      </c>
      <c r="C266" s="194" t="inlineStr">
        <is>
          <t>3L &amp; Closing auction settlement session Preparation</t>
        </is>
      </c>
      <c r="D266" s="194" t="inlineStr">
        <is>
          <t>2026-07-23</t>
        </is>
      </c>
      <c r="E266" s="194" t="inlineStr">
        <is>
          <t>—</t>
        </is>
      </c>
      <c r="F266" s="194" t="inlineStr">
        <is>
          <t>Harish Bhat</t>
        </is>
      </c>
      <c r="G266" s="194" t="inlineStr">
        <is>
          <t>Offline</t>
        </is>
      </c>
      <c r="H266" s="194" t="inlineStr">
        <is>
          <t>3L &amp; Closing auction settlement session Preparation</t>
        </is>
      </c>
      <c r="I266" s="195" t="n">
        <v>4</v>
      </c>
    </row>
    <row r="267" ht="15.75" customHeight="1" s="156">
      <c r="A267" s="192" t="inlineStr">
        <is>
          <t>July 2026</t>
        </is>
      </c>
      <c r="B267" s="192" t="inlineStr">
        <is>
          <t>Other</t>
        </is>
      </c>
      <c r="C267" s="192" t="inlineStr">
        <is>
          <t>Varsity blog &amp; Post updates</t>
        </is>
      </c>
      <c r="D267" s="192" t="inlineStr">
        <is>
          <t>2026-07-23</t>
        </is>
      </c>
      <c r="E267" s="192" t="inlineStr">
        <is>
          <t>—</t>
        </is>
      </c>
      <c r="F267" s="192" t="inlineStr">
        <is>
          <t>Harish Bhat</t>
        </is>
      </c>
      <c r="G267" s="192" t="inlineStr">
        <is>
          <t>Online</t>
        </is>
      </c>
      <c r="H267" s="192" t="inlineStr">
        <is>
          <t>Varsity blog &amp; Post updates</t>
        </is>
      </c>
      <c r="I267" s="193" t="n">
        <v>1</v>
      </c>
    </row>
    <row r="268" ht="15.75" customHeight="1" s="156">
      <c r="A268" s="192" t="inlineStr">
        <is>
          <t>July 2026</t>
        </is>
      </c>
      <c r="B268" s="192" t="inlineStr">
        <is>
          <t>Assessment</t>
        </is>
      </c>
      <c r="C268" s="192" t="inlineStr">
        <is>
          <t>lms tool testing for public exams</t>
        </is>
      </c>
      <c r="D268" s="192" t="inlineStr">
        <is>
          <t>2026-07-10</t>
        </is>
      </c>
      <c r="E268" s="192" t="inlineStr">
        <is>
          <t>—</t>
        </is>
      </c>
      <c r="F268" s="192" t="inlineStr">
        <is>
          <t>Harish Bhat</t>
        </is>
      </c>
      <c r="G268" s="192" t="inlineStr">
        <is>
          <t>Online</t>
        </is>
      </c>
      <c r="H268" s="192" t="inlineStr">
        <is>
          <t>lms tool testing for public exams</t>
        </is>
      </c>
      <c r="I268" s="193" t="n">
        <v>2</v>
      </c>
    </row>
    <row r="269" ht="15.75" customHeight="1" s="156">
      <c r="A269" s="192" t="inlineStr">
        <is>
          <t>July 2026</t>
        </is>
      </c>
      <c r="B269" s="192" t="inlineStr">
        <is>
          <t>Assessment</t>
        </is>
      </c>
      <c r="C269" s="192" t="inlineStr">
        <is>
          <t>lms tool testing for public exams</t>
        </is>
      </c>
      <c r="D269" s="192" t="inlineStr">
        <is>
          <t>2026-07-13</t>
        </is>
      </c>
      <c r="E269" s="192" t="inlineStr">
        <is>
          <t>—</t>
        </is>
      </c>
      <c r="F269" s="192" t="inlineStr">
        <is>
          <t>Harish Bhat</t>
        </is>
      </c>
      <c r="G269" s="192" t="inlineStr">
        <is>
          <t>Online</t>
        </is>
      </c>
      <c r="H269" s="192" t="inlineStr">
        <is>
          <t>lms tool testing for public exams</t>
        </is>
      </c>
      <c r="I269" s="193" t="n">
        <v>3</v>
      </c>
    </row>
    <row r="270" ht="15.75" customHeight="1" s="156">
      <c r="A270" s="192" t="inlineStr">
        <is>
          <t>July 2026</t>
        </is>
      </c>
      <c r="B270" s="192" t="inlineStr">
        <is>
          <t>Support Training</t>
        </is>
      </c>
      <c r="C270" s="192" t="inlineStr">
        <is>
          <t>AML &amp; unsolicited session</t>
        </is>
      </c>
      <c r="D270" s="192" t="inlineStr">
        <is>
          <t>2026-07-24</t>
        </is>
      </c>
      <c r="E270" s="192" t="inlineStr">
        <is>
          <t>—</t>
        </is>
      </c>
      <c r="F270" s="192" t="inlineStr">
        <is>
          <t>Harish Bhat</t>
        </is>
      </c>
      <c r="G270" s="192" t="inlineStr">
        <is>
          <t>Online</t>
        </is>
      </c>
      <c r="H270" s="192" t="inlineStr">
        <is>
          <t>AML &amp; unsolicited session</t>
        </is>
      </c>
      <c r="I270" s="193" t="n">
        <v>1</v>
      </c>
    </row>
    <row r="271" ht="15.75" customHeight="1" s="156">
      <c r="A271" s="192" t="inlineStr">
        <is>
          <t>July 2026</t>
        </is>
      </c>
      <c r="B271" s="192" t="inlineStr">
        <is>
          <t>Assessment</t>
        </is>
      </c>
      <c r="C271" s="192" t="inlineStr">
        <is>
          <t>Monthly Test schedule</t>
        </is>
      </c>
      <c r="D271" s="192" t="inlineStr">
        <is>
          <t>2026-07-21</t>
        </is>
      </c>
      <c r="E271" s="192" t="inlineStr">
        <is>
          <t>—</t>
        </is>
      </c>
      <c r="F271" s="192" t="inlineStr">
        <is>
          <t>Harish Bhat</t>
        </is>
      </c>
      <c r="G271" s="192" t="inlineStr">
        <is>
          <t>Online</t>
        </is>
      </c>
      <c r="H271" s="192" t="inlineStr">
        <is>
          <t>Monthly Test schedule</t>
        </is>
      </c>
      <c r="I271" s="193" t="n">
        <v>1</v>
      </c>
    </row>
    <row r="272" ht="15.75" customHeight="1" s="156">
      <c r="A272" s="194" t="inlineStr">
        <is>
          <t>July 2026</t>
        </is>
      </c>
      <c r="B272" s="194" t="inlineStr">
        <is>
          <t>Other</t>
        </is>
      </c>
      <c r="C272" s="194" t="inlineStr">
        <is>
          <t>Closing Auction settlement preperation</t>
        </is>
      </c>
      <c r="D272" s="194" t="inlineStr">
        <is>
          <t>2026-07-17</t>
        </is>
      </c>
      <c r="E272" s="194" t="inlineStr">
        <is>
          <t>—</t>
        </is>
      </c>
      <c r="F272" s="194" t="inlineStr">
        <is>
          <t>Harish Bhat</t>
        </is>
      </c>
      <c r="G272" s="194" t="inlineStr">
        <is>
          <t>Offline</t>
        </is>
      </c>
      <c r="H272" s="194" t="inlineStr">
        <is>
          <t>Closing Auction settlement preperation</t>
        </is>
      </c>
      <c r="I272" s="195" t="n">
        <v>1</v>
      </c>
    </row>
    <row r="273" ht="15.75" customHeight="1" s="156">
      <c r="A273" s="192" t="inlineStr">
        <is>
          <t>July 2026</t>
        </is>
      </c>
      <c r="B273" s="192" t="inlineStr">
        <is>
          <t>Support Training</t>
        </is>
      </c>
      <c r="C273" s="192" t="inlineStr">
        <is>
          <t>TNI Prepartiion for Communicate 360</t>
        </is>
      </c>
      <c r="D273" s="192" t="inlineStr">
        <is>
          <t>2026-07-17</t>
        </is>
      </c>
      <c r="E273" s="192" t="inlineStr">
        <is>
          <t>—</t>
        </is>
      </c>
      <c r="F273" s="192" t="inlineStr">
        <is>
          <t>Harish Bhat</t>
        </is>
      </c>
      <c r="G273" s="192" t="inlineStr">
        <is>
          <t>Online</t>
        </is>
      </c>
      <c r="H273" s="192" t="inlineStr">
        <is>
          <t>TNI Prepartiion for Communicate 360</t>
        </is>
      </c>
      <c r="I273" s="193" t="n">
        <v>2</v>
      </c>
    </row>
    <row r="274" ht="15.75" customHeight="1" s="156">
      <c r="A274" s="192" t="inlineStr">
        <is>
          <t>July 2026</t>
        </is>
      </c>
      <c r="B274" s="192" t="inlineStr">
        <is>
          <t>Support Training</t>
        </is>
      </c>
      <c r="C274" s="192" t="inlineStr">
        <is>
          <t>TNI Prepartiion for Communicate 360</t>
        </is>
      </c>
      <c r="D274" s="192" t="inlineStr">
        <is>
          <t>2026-07-16</t>
        </is>
      </c>
      <c r="E274" s="192" t="inlineStr">
        <is>
          <t>—</t>
        </is>
      </c>
      <c r="F274" s="192" t="inlineStr">
        <is>
          <t>Harish Bhat</t>
        </is>
      </c>
      <c r="G274" s="192" t="inlineStr">
        <is>
          <t>Online</t>
        </is>
      </c>
      <c r="H274" s="192" t="inlineStr">
        <is>
          <t>TNI Prepartiion for Communicate 360</t>
        </is>
      </c>
      <c r="I274" s="193" t="n">
        <v>3.5</v>
      </c>
    </row>
    <row r="275" ht="15.75" customHeight="1" s="156">
      <c r="A275" s="192" t="inlineStr">
        <is>
          <t>July 2026</t>
        </is>
      </c>
      <c r="B275" s="192" t="inlineStr">
        <is>
          <t>Assessment</t>
        </is>
      </c>
      <c r="C275" s="192" t="inlineStr">
        <is>
          <t>Interview test conduct</t>
        </is>
      </c>
      <c r="D275" s="192" t="inlineStr">
        <is>
          <t>2026-07-15</t>
        </is>
      </c>
      <c r="E275" s="192" t="inlineStr">
        <is>
          <t>—</t>
        </is>
      </c>
      <c r="F275" s="192" t="inlineStr">
        <is>
          <t>Harish Bhat</t>
        </is>
      </c>
      <c r="G275" s="192" t="inlineStr">
        <is>
          <t>Online</t>
        </is>
      </c>
      <c r="H275" s="192" t="inlineStr">
        <is>
          <t>Interview test conduct</t>
        </is>
      </c>
      <c r="I275" s="193" t="n">
        <v>2</v>
      </c>
    </row>
    <row r="276" ht="15.75" customHeight="1" s="156">
      <c r="A276" s="192" t="inlineStr">
        <is>
          <t>July 2026</t>
        </is>
      </c>
      <c r="B276" s="192" t="inlineStr">
        <is>
          <t>Support Training</t>
        </is>
      </c>
      <c r="C276" s="192" t="inlineStr">
        <is>
          <t>Interview question Paper preperation</t>
        </is>
      </c>
      <c r="D276" s="192" t="inlineStr">
        <is>
          <t>2026-07-14</t>
        </is>
      </c>
      <c r="E276" s="192" t="inlineStr">
        <is>
          <t>—</t>
        </is>
      </c>
      <c r="F276" s="192" t="inlineStr">
        <is>
          <t>Harish Bhat</t>
        </is>
      </c>
      <c r="G276" s="192" t="inlineStr">
        <is>
          <t>Online</t>
        </is>
      </c>
      <c r="H276" s="192" t="inlineStr">
        <is>
          <t>Interview question Paper preperation</t>
        </is>
      </c>
      <c r="I276" s="193" t="n">
        <v>1</v>
      </c>
    </row>
    <row r="277" ht="15.75" customHeight="1" s="156">
      <c r="A277" s="194" t="inlineStr">
        <is>
          <t>July 2026</t>
        </is>
      </c>
      <c r="B277" s="194" t="inlineStr">
        <is>
          <t>Other</t>
        </is>
      </c>
      <c r="C277" s="194" t="inlineStr">
        <is>
          <t>varsity tickets</t>
        </is>
      </c>
      <c r="D277" s="194" t="inlineStr">
        <is>
          <t>2026-07-14</t>
        </is>
      </c>
      <c r="E277" s="194" t="inlineStr">
        <is>
          <t>—</t>
        </is>
      </c>
      <c r="F277" s="194" t="inlineStr">
        <is>
          <t>Harish Bhat</t>
        </is>
      </c>
      <c r="G277" s="194" t="inlineStr">
        <is>
          <t>Offline</t>
        </is>
      </c>
      <c r="H277" s="194" t="inlineStr">
        <is>
          <t>varsity tickets</t>
        </is>
      </c>
      <c r="I277" s="195" t="n">
        <v>0.25</v>
      </c>
    </row>
    <row r="278" ht="15.75" customHeight="1" s="156">
      <c r="A278" s="194" t="inlineStr">
        <is>
          <t>July 2026</t>
        </is>
      </c>
      <c r="B278" s="194" t="inlineStr">
        <is>
          <t>Other</t>
        </is>
      </c>
      <c r="C278" s="194" t="inlineStr">
        <is>
          <t>varsity tickets</t>
        </is>
      </c>
      <c r="D278" s="194" t="inlineStr">
        <is>
          <t>2026-07-15</t>
        </is>
      </c>
      <c r="E278" s="194" t="inlineStr">
        <is>
          <t>—</t>
        </is>
      </c>
      <c r="F278" s="194" t="inlineStr">
        <is>
          <t>Harish Bhat</t>
        </is>
      </c>
      <c r="G278" s="194" t="inlineStr">
        <is>
          <t>Offline</t>
        </is>
      </c>
      <c r="H278" s="194" t="inlineStr">
        <is>
          <t>varsity tickets</t>
        </is>
      </c>
      <c r="I278" s="195" t="n">
        <v>0.25</v>
      </c>
    </row>
    <row r="279" ht="15.75" customHeight="1" s="156">
      <c r="A279" s="194" t="inlineStr">
        <is>
          <t>July 2026</t>
        </is>
      </c>
      <c r="B279" s="194" t="inlineStr">
        <is>
          <t>Other</t>
        </is>
      </c>
      <c r="C279" s="194" t="inlineStr">
        <is>
          <t>varsity tickets</t>
        </is>
      </c>
      <c r="D279" s="194" t="inlineStr">
        <is>
          <t>2026-07-06</t>
        </is>
      </c>
      <c r="E279" s="194" t="inlineStr">
        <is>
          <t>—</t>
        </is>
      </c>
      <c r="F279" s="194" t="inlineStr">
        <is>
          <t>Harish Bhat</t>
        </is>
      </c>
      <c r="G279" s="194" t="inlineStr">
        <is>
          <t>Offline</t>
        </is>
      </c>
      <c r="H279" s="194" t="inlineStr">
        <is>
          <t>varsity tickets</t>
        </is>
      </c>
      <c r="I279" s="195" t="n">
        <v>0.25</v>
      </c>
    </row>
    <row r="280" ht="15.75" customHeight="1" s="156">
      <c r="A280" s="194" t="inlineStr">
        <is>
          <t>July 2026</t>
        </is>
      </c>
      <c r="B280" s="194" t="inlineStr">
        <is>
          <t>Other</t>
        </is>
      </c>
      <c r="C280" s="194" t="inlineStr">
        <is>
          <t>varsity tickets</t>
        </is>
      </c>
      <c r="D280" s="194" t="inlineStr">
        <is>
          <t>2026-07-07</t>
        </is>
      </c>
      <c r="E280" s="194" t="inlineStr">
        <is>
          <t>—</t>
        </is>
      </c>
      <c r="F280" s="194" t="inlineStr">
        <is>
          <t>Harish Bhat</t>
        </is>
      </c>
      <c r="G280" s="194" t="inlineStr">
        <is>
          <t>Offline</t>
        </is>
      </c>
      <c r="H280" s="194" t="inlineStr">
        <is>
          <t>varsity tickets</t>
        </is>
      </c>
      <c r="I280" s="195" t="n">
        <v>0.25</v>
      </c>
    </row>
    <row r="281" ht="15.75" customHeight="1" s="156">
      <c r="A281" s="194" t="inlineStr">
        <is>
          <t>July 2026</t>
        </is>
      </c>
      <c r="B281" s="194" t="inlineStr">
        <is>
          <t>Other</t>
        </is>
      </c>
      <c r="C281" s="194" t="inlineStr">
        <is>
          <t>varsity tickets</t>
        </is>
      </c>
      <c r="D281" s="194" t="inlineStr">
        <is>
          <t>2026-07-08</t>
        </is>
      </c>
      <c r="E281" s="194" t="inlineStr">
        <is>
          <t>—</t>
        </is>
      </c>
      <c r="F281" s="194" t="inlineStr">
        <is>
          <t>Harish Bhat</t>
        </is>
      </c>
      <c r="G281" s="194" t="inlineStr">
        <is>
          <t>Offline</t>
        </is>
      </c>
      <c r="H281" s="194" t="inlineStr">
        <is>
          <t>varsity tickets</t>
        </is>
      </c>
      <c r="I281" s="195" t="n">
        <v>0.25</v>
      </c>
    </row>
    <row r="282" ht="15.75" customHeight="1" s="156">
      <c r="A282" s="194" t="inlineStr">
        <is>
          <t>July 2026</t>
        </is>
      </c>
      <c r="B282" s="194" t="inlineStr">
        <is>
          <t>Other</t>
        </is>
      </c>
      <c r="C282" s="194" t="inlineStr">
        <is>
          <t>varsity tickets</t>
        </is>
      </c>
      <c r="D282" s="194" t="inlineStr">
        <is>
          <t>2026-07-09</t>
        </is>
      </c>
      <c r="E282" s="194" t="inlineStr">
        <is>
          <t>—</t>
        </is>
      </c>
      <c r="F282" s="194" t="inlineStr">
        <is>
          <t>Harish Bhat</t>
        </is>
      </c>
      <c r="G282" s="194" t="inlineStr">
        <is>
          <t>Offline</t>
        </is>
      </c>
      <c r="H282" s="194" t="inlineStr">
        <is>
          <t>varsity tickets</t>
        </is>
      </c>
      <c r="I282" s="195" t="n">
        <v>0.25</v>
      </c>
    </row>
    <row r="283" ht="15.75" customHeight="1" s="156">
      <c r="A283" s="194" t="inlineStr">
        <is>
          <t>July 2026</t>
        </is>
      </c>
      <c r="B283" s="194" t="inlineStr">
        <is>
          <t>Other</t>
        </is>
      </c>
      <c r="C283" s="194" t="inlineStr">
        <is>
          <t>varsity tickets</t>
        </is>
      </c>
      <c r="D283" s="194" t="inlineStr">
        <is>
          <t>2026-07-10</t>
        </is>
      </c>
      <c r="E283" s="194" t="inlineStr">
        <is>
          <t>—</t>
        </is>
      </c>
      <c r="F283" s="194" t="inlineStr">
        <is>
          <t>Harish Bhat</t>
        </is>
      </c>
      <c r="G283" s="194" t="inlineStr">
        <is>
          <t>Offline</t>
        </is>
      </c>
      <c r="H283" s="194" t="inlineStr">
        <is>
          <t>varsity tickets</t>
        </is>
      </c>
      <c r="I283" s="195" t="n">
        <v>0.25</v>
      </c>
    </row>
    <row r="284" ht="15.75" customHeight="1" s="156">
      <c r="A284" s="194" t="inlineStr">
        <is>
          <t>July 2026</t>
        </is>
      </c>
      <c r="B284" s="194" t="inlineStr">
        <is>
          <t>Other</t>
        </is>
      </c>
      <c r="C284" s="194" t="inlineStr">
        <is>
          <t>varsity tickets</t>
        </is>
      </c>
      <c r="D284" s="194" t="inlineStr">
        <is>
          <t>2026-07-13</t>
        </is>
      </c>
      <c r="E284" s="194" t="inlineStr">
        <is>
          <t>—</t>
        </is>
      </c>
      <c r="F284" s="194" t="inlineStr">
        <is>
          <t>Harish Bhat</t>
        </is>
      </c>
      <c r="G284" s="194" t="inlineStr">
        <is>
          <t>Offline</t>
        </is>
      </c>
      <c r="H284" s="194" t="inlineStr">
        <is>
          <t>varsity tickets</t>
        </is>
      </c>
      <c r="I284" s="195" t="n">
        <v>0.25</v>
      </c>
    </row>
    <row r="285" ht="15.75" customHeight="1" s="156">
      <c r="A285" s="194" t="inlineStr">
        <is>
          <t>July 2026</t>
        </is>
      </c>
      <c r="B285" s="194" t="inlineStr">
        <is>
          <t>Other</t>
        </is>
      </c>
      <c r="C285" s="194" t="inlineStr">
        <is>
          <t>varsity tickets</t>
        </is>
      </c>
      <c r="D285" s="194" t="inlineStr">
        <is>
          <t>2026-07-16</t>
        </is>
      </c>
      <c r="E285" s="194" t="inlineStr">
        <is>
          <t>—</t>
        </is>
      </c>
      <c r="F285" s="194" t="inlineStr">
        <is>
          <t>Harish Bhat</t>
        </is>
      </c>
      <c r="G285" s="194" t="inlineStr">
        <is>
          <t>Offline</t>
        </is>
      </c>
      <c r="H285" s="194" t="inlineStr">
        <is>
          <t>varsity tickets</t>
        </is>
      </c>
      <c r="I285" s="195" t="n">
        <v>0.25</v>
      </c>
    </row>
    <row r="286" ht="15.75" customHeight="1" s="156">
      <c r="A286" s="194" t="inlineStr">
        <is>
          <t>July 2026</t>
        </is>
      </c>
      <c r="B286" s="194" t="inlineStr">
        <is>
          <t>Other</t>
        </is>
      </c>
      <c r="C286" s="194" t="inlineStr">
        <is>
          <t>varsity tickets</t>
        </is>
      </c>
      <c r="D286" s="194" t="inlineStr">
        <is>
          <t>2026-07-17</t>
        </is>
      </c>
      <c r="E286" s="194" t="inlineStr">
        <is>
          <t>—</t>
        </is>
      </c>
      <c r="F286" s="194" t="inlineStr">
        <is>
          <t>Harish Bhat</t>
        </is>
      </c>
      <c r="G286" s="194" t="inlineStr">
        <is>
          <t>Offline</t>
        </is>
      </c>
      <c r="H286" s="194" t="inlineStr">
        <is>
          <t>varsity tickets</t>
        </is>
      </c>
      <c r="I286" s="195" t="n">
        <v>0.25</v>
      </c>
    </row>
    <row r="287" ht="15.75" customHeight="1" s="156">
      <c r="A287" s="194" t="inlineStr">
        <is>
          <t>July 2026</t>
        </is>
      </c>
      <c r="B287" s="194" t="inlineStr">
        <is>
          <t>Other</t>
        </is>
      </c>
      <c r="C287" s="194" t="inlineStr">
        <is>
          <t>varsity tickets</t>
        </is>
      </c>
      <c r="D287" s="194" t="inlineStr">
        <is>
          <t>2026-07-20</t>
        </is>
      </c>
      <c r="E287" s="194" t="inlineStr">
        <is>
          <t>—</t>
        </is>
      </c>
      <c r="F287" s="194" t="inlineStr">
        <is>
          <t>Harish Bhat</t>
        </is>
      </c>
      <c r="G287" s="194" t="inlineStr">
        <is>
          <t>Offline</t>
        </is>
      </c>
      <c r="H287" s="194" t="inlineStr">
        <is>
          <t>varsity tickets</t>
        </is>
      </c>
      <c r="I287" s="195" t="n">
        <v>0.25</v>
      </c>
    </row>
    <row r="288" ht="15.75" customHeight="1" s="156">
      <c r="A288" s="194" t="inlineStr">
        <is>
          <t>July 2026</t>
        </is>
      </c>
      <c r="B288" s="194" t="inlineStr">
        <is>
          <t>Other</t>
        </is>
      </c>
      <c r="C288" s="194" t="inlineStr">
        <is>
          <t>varsity tickets</t>
        </is>
      </c>
      <c r="D288" s="194" t="inlineStr">
        <is>
          <t>2026-07-21</t>
        </is>
      </c>
      <c r="E288" s="194" t="inlineStr">
        <is>
          <t>—</t>
        </is>
      </c>
      <c r="F288" s="194" t="inlineStr">
        <is>
          <t>Harish Bhat</t>
        </is>
      </c>
      <c r="G288" s="194" t="inlineStr">
        <is>
          <t>Offline</t>
        </is>
      </c>
      <c r="H288" s="194" t="inlineStr">
        <is>
          <t>varsity tickets</t>
        </is>
      </c>
      <c r="I288" s="195" t="n">
        <v>0.25</v>
      </c>
    </row>
    <row r="289" ht="15.75" customHeight="1" s="156">
      <c r="A289" s="194" t="inlineStr">
        <is>
          <t>July 2026</t>
        </is>
      </c>
      <c r="B289" s="194" t="inlineStr">
        <is>
          <t>Other</t>
        </is>
      </c>
      <c r="C289" s="194" t="inlineStr">
        <is>
          <t>varsity tickets</t>
        </is>
      </c>
      <c r="D289" s="194" t="inlineStr">
        <is>
          <t>2026-07-22</t>
        </is>
      </c>
      <c r="E289" s="194" t="inlineStr">
        <is>
          <t>—</t>
        </is>
      </c>
      <c r="F289" s="194" t="inlineStr">
        <is>
          <t>Harish Bhat</t>
        </is>
      </c>
      <c r="G289" s="194" t="inlineStr">
        <is>
          <t>Offline</t>
        </is>
      </c>
      <c r="H289" s="194" t="inlineStr">
        <is>
          <t>varsity tickets</t>
        </is>
      </c>
      <c r="I289" s="195" t="n">
        <v>0.25</v>
      </c>
    </row>
    <row r="290" ht="15.75" customHeight="1" s="156">
      <c r="A290" s="194" t="inlineStr">
        <is>
          <t>July 2026</t>
        </is>
      </c>
      <c r="B290" s="194" t="inlineStr">
        <is>
          <t>Other</t>
        </is>
      </c>
      <c r="C290" s="194" t="inlineStr">
        <is>
          <t>varsity tickets</t>
        </is>
      </c>
      <c r="D290" s="194" t="inlineStr">
        <is>
          <t>2026-07-23</t>
        </is>
      </c>
      <c r="E290" s="194" t="inlineStr">
        <is>
          <t>—</t>
        </is>
      </c>
      <c r="F290" s="194" t="inlineStr">
        <is>
          <t>Harish Bhat</t>
        </is>
      </c>
      <c r="G290" s="194" t="inlineStr">
        <is>
          <t>Offline</t>
        </is>
      </c>
      <c r="H290" s="194" t="inlineStr">
        <is>
          <t>varsity tickets</t>
        </is>
      </c>
      <c r="I290" s="195" t="n">
        <v>0.25</v>
      </c>
    </row>
    <row r="291" ht="15.75" customHeight="1" s="156">
      <c r="A291" s="194" t="inlineStr">
        <is>
          <t>July 2026</t>
        </is>
      </c>
      <c r="B291" s="194" t="inlineStr">
        <is>
          <t>Other</t>
        </is>
      </c>
      <c r="C291" s="194" t="inlineStr">
        <is>
          <t>varsity tickets</t>
        </is>
      </c>
      <c r="D291" s="194" t="inlineStr">
        <is>
          <t>2026-07-24</t>
        </is>
      </c>
      <c r="E291" s="194" t="inlineStr">
        <is>
          <t>—</t>
        </is>
      </c>
      <c r="F291" s="194" t="inlineStr">
        <is>
          <t>Harish Bhat</t>
        </is>
      </c>
      <c r="G291" s="194" t="inlineStr">
        <is>
          <t>Offline</t>
        </is>
      </c>
      <c r="H291" s="194" t="inlineStr">
        <is>
          <t>varsity tickets</t>
        </is>
      </c>
      <c r="I291" s="195" t="n">
        <v>0.25</v>
      </c>
    </row>
    <row r="292" ht="15.75" customHeight="1" s="156">
      <c r="A292" s="192" t="inlineStr">
        <is>
          <t>July 2026</t>
        </is>
      </c>
      <c r="B292" s="192" t="inlineStr">
        <is>
          <t>Support Training</t>
        </is>
      </c>
      <c r="C292" s="192" t="inlineStr">
        <is>
          <t>Interview- New Hire</t>
        </is>
      </c>
      <c r="D292" s="192" t="inlineStr">
        <is>
          <t>2026-07-27</t>
        </is>
      </c>
      <c r="E292" s="192" t="inlineStr">
        <is>
          <t>—</t>
        </is>
      </c>
      <c r="F292" s="192" t="inlineStr">
        <is>
          <t>Freeda Reshma Dsouza</t>
        </is>
      </c>
      <c r="G292" s="192" t="inlineStr">
        <is>
          <t>Online</t>
        </is>
      </c>
      <c r="H292" s="192" t="inlineStr">
        <is>
          <t>Interview</t>
        </is>
      </c>
      <c r="I292" s="193" t="n">
        <v>1</v>
      </c>
    </row>
    <row r="293" ht="15.75" customHeight="1" s="156">
      <c r="A293" s="192" t="inlineStr">
        <is>
          <t>July 2026</t>
        </is>
      </c>
      <c r="B293" s="192" t="inlineStr">
        <is>
          <t>Other</t>
        </is>
      </c>
      <c r="C293" s="192" t="inlineStr">
        <is>
          <t>NRI session planner</t>
        </is>
      </c>
      <c r="D293" s="192" t="inlineStr">
        <is>
          <t>2026-07-24</t>
        </is>
      </c>
      <c r="E293" s="192" t="inlineStr">
        <is>
          <t>—</t>
        </is>
      </c>
      <c r="F293" s="192" t="inlineStr">
        <is>
          <t>Girish A</t>
        </is>
      </c>
      <c r="G293" s="192" t="inlineStr">
        <is>
          <t>Online</t>
        </is>
      </c>
      <c r="H293" s="192" t="inlineStr">
        <is>
          <t>NRI session planner</t>
        </is>
      </c>
      <c r="I293" s="193" t="n">
        <v>1</v>
      </c>
    </row>
    <row r="294" ht="15.75" customHeight="1" s="156">
      <c r="A294" s="192" t="inlineStr">
        <is>
          <t>July 2026</t>
        </is>
      </c>
      <c r="B294" s="192" t="inlineStr">
        <is>
          <t>Other</t>
        </is>
      </c>
      <c r="C294" s="192" t="inlineStr">
        <is>
          <t>QIP Manager Meeting</t>
        </is>
      </c>
      <c r="D294" s="192" t="inlineStr">
        <is>
          <t>2026-07-24</t>
        </is>
      </c>
      <c r="E294" s="192" t="inlineStr">
        <is>
          <t>—</t>
        </is>
      </c>
      <c r="F294" s="192" t="inlineStr">
        <is>
          <t>Girish A</t>
        </is>
      </c>
      <c r="G294" s="192" t="inlineStr">
        <is>
          <t>Online</t>
        </is>
      </c>
      <c r="H294" s="192" t="inlineStr">
        <is>
          <t>QIP Manager Meeting</t>
        </is>
      </c>
      <c r="I294" s="193" t="n">
        <v>1.1</v>
      </c>
    </row>
    <row r="295" ht="15.75" customHeight="1" s="156">
      <c r="A295" s="192" t="inlineStr">
        <is>
          <t>July 2026</t>
        </is>
      </c>
      <c r="B295" s="192" t="inlineStr">
        <is>
          <t>Support Training</t>
        </is>
      </c>
      <c r="C295" s="192" t="inlineStr">
        <is>
          <t>AML &amp; unsolicited Session</t>
        </is>
      </c>
      <c r="D295" s="192" t="inlineStr">
        <is>
          <t>2026-07-24</t>
        </is>
      </c>
      <c r="E295" s="192" t="inlineStr">
        <is>
          <t>—</t>
        </is>
      </c>
      <c r="F295" s="192" t="inlineStr">
        <is>
          <t>Girish A</t>
        </is>
      </c>
      <c r="G295" s="192" t="inlineStr">
        <is>
          <t>Online</t>
        </is>
      </c>
      <c r="H295" s="192" t="inlineStr">
        <is>
          <t>AML &amp; unsolicited Session</t>
        </is>
      </c>
      <c r="I295" s="193" t="n">
        <v>1</v>
      </c>
    </row>
    <row r="296" ht="15.75" customHeight="1" s="156">
      <c r="A296" s="192" t="inlineStr">
        <is>
          <t>July 2026</t>
        </is>
      </c>
      <c r="B296" s="192" t="inlineStr">
        <is>
          <t>Support Training</t>
        </is>
      </c>
      <c r="C296" s="192" t="inlineStr">
        <is>
          <t>Interview</t>
        </is>
      </c>
      <c r="D296" s="192" t="inlineStr">
        <is>
          <t>2026-07-20</t>
        </is>
      </c>
      <c r="E296" s="192" t="inlineStr">
        <is>
          <t>—</t>
        </is>
      </c>
      <c r="F296" s="192" t="inlineStr">
        <is>
          <t>Girish A</t>
        </is>
      </c>
      <c r="G296" s="192" t="inlineStr">
        <is>
          <t>Online</t>
        </is>
      </c>
      <c r="H296" s="192" t="inlineStr">
        <is>
          <t>Interview</t>
        </is>
      </c>
      <c r="I296" s="193" t="n">
        <v>1</v>
      </c>
    </row>
    <row r="297" ht="15.75" customHeight="1" s="156">
      <c r="A297" s="192" t="inlineStr">
        <is>
          <t>July 2026</t>
        </is>
      </c>
      <c r="B297" s="192" t="inlineStr">
        <is>
          <t>Support Training</t>
        </is>
      </c>
      <c r="C297" s="192" t="inlineStr">
        <is>
          <t>Interview</t>
        </is>
      </c>
      <c r="D297" s="192" t="inlineStr">
        <is>
          <t>2026-07-21</t>
        </is>
      </c>
      <c r="E297" s="192" t="inlineStr">
        <is>
          <t>—</t>
        </is>
      </c>
      <c r="F297" s="192" t="inlineStr">
        <is>
          <t>Girish A</t>
        </is>
      </c>
      <c r="G297" s="192" t="inlineStr">
        <is>
          <t>Online</t>
        </is>
      </c>
      <c r="H297" s="192" t="inlineStr">
        <is>
          <t>Interview</t>
        </is>
      </c>
      <c r="I297" s="193" t="n">
        <v>1</v>
      </c>
    </row>
    <row r="298" ht="15.75" customHeight="1" s="156">
      <c r="A298" s="192" t="inlineStr">
        <is>
          <t>July 2026</t>
        </is>
      </c>
      <c r="B298" s="192" t="inlineStr">
        <is>
          <t>Support Training</t>
        </is>
      </c>
      <c r="C298" s="192" t="inlineStr">
        <is>
          <t>Interview</t>
        </is>
      </c>
      <c r="D298" s="192" t="inlineStr">
        <is>
          <t>2026-07-24</t>
        </is>
      </c>
      <c r="E298" s="192" t="inlineStr">
        <is>
          <t>—</t>
        </is>
      </c>
      <c r="F298" s="192" t="inlineStr">
        <is>
          <t>Girish A</t>
        </is>
      </c>
      <c r="G298" s="192" t="inlineStr">
        <is>
          <t>Online</t>
        </is>
      </c>
      <c r="H298" s="192" t="inlineStr">
        <is>
          <t>Interview</t>
        </is>
      </c>
      <c r="I298" s="193" t="n">
        <v>0.25</v>
      </c>
    </row>
    <row r="299" ht="15.75" customHeight="1" s="156">
      <c r="A299" s="192" t="inlineStr">
        <is>
          <t>July 2026</t>
        </is>
      </c>
      <c r="B299" s="192" t="inlineStr">
        <is>
          <t>Assessment</t>
        </is>
      </c>
      <c r="C299" s="192" t="inlineStr">
        <is>
          <t>Interview Test Conduct</t>
        </is>
      </c>
      <c r="D299" s="192" t="inlineStr">
        <is>
          <t>2026-07-15</t>
        </is>
      </c>
      <c r="E299" s="192" t="inlineStr">
        <is>
          <t>—</t>
        </is>
      </c>
      <c r="F299" s="192" t="inlineStr">
        <is>
          <t>Girish A</t>
        </is>
      </c>
      <c r="G299" s="192" t="inlineStr">
        <is>
          <t>Online</t>
        </is>
      </c>
      <c r="H299" s="192" t="inlineStr">
        <is>
          <t>Interview Test Conduct</t>
        </is>
      </c>
      <c r="I299" s="193" t="n">
        <v>2</v>
      </c>
    </row>
    <row r="300" ht="15.75" customHeight="1" s="156">
      <c r="A300" s="192" t="inlineStr">
        <is>
          <t>July 2026</t>
        </is>
      </c>
      <c r="B300" s="192" t="inlineStr">
        <is>
          <t>Support Training</t>
        </is>
      </c>
      <c r="C300" s="192" t="inlineStr">
        <is>
          <t>Closing auction settlement session</t>
        </is>
      </c>
      <c r="D300" s="192" t="inlineStr">
        <is>
          <t>2026-07-27</t>
        </is>
      </c>
      <c r="E300" s="192" t="inlineStr">
        <is>
          <t>—</t>
        </is>
      </c>
      <c r="F300" s="192" t="inlineStr">
        <is>
          <t>Harish Bhat</t>
        </is>
      </c>
      <c r="G300" s="192" t="inlineStr">
        <is>
          <t>Online</t>
        </is>
      </c>
      <c r="H300" s="192" t="inlineStr">
        <is>
          <t>Closing auction settlement session</t>
        </is>
      </c>
      <c r="I300" s="193" t="n">
        <v>1</v>
      </c>
    </row>
    <row r="301" ht="15.75" customHeight="1" s="156">
      <c r="A301" s="192" t="inlineStr">
        <is>
          <t>July 2026</t>
        </is>
      </c>
      <c r="B301" s="192" t="inlineStr">
        <is>
          <t>Support Training</t>
        </is>
      </c>
      <c r="C301" s="192" t="inlineStr">
        <is>
          <t>Candidates Interview</t>
        </is>
      </c>
      <c r="D301" s="192" t="inlineStr">
        <is>
          <t>2026-07-27</t>
        </is>
      </c>
      <c r="E301" s="192" t="inlineStr">
        <is>
          <t>—</t>
        </is>
      </c>
      <c r="F301" s="192" t="inlineStr">
        <is>
          <t>Harish Bhat</t>
        </is>
      </c>
      <c r="G301" s="192" t="inlineStr">
        <is>
          <t>Online</t>
        </is>
      </c>
      <c r="H301" s="192" t="inlineStr">
        <is>
          <t>Candidates Interview</t>
        </is>
      </c>
      <c r="I301" s="193" t="n">
        <v>1</v>
      </c>
    </row>
    <row r="302" ht="15.75" customHeight="1" s="156">
      <c r="A302" s="192" t="inlineStr">
        <is>
          <t>July 2026</t>
        </is>
      </c>
      <c r="B302" s="192" t="inlineStr">
        <is>
          <t>Assessment</t>
        </is>
      </c>
      <c r="C302" s="192" t="inlineStr">
        <is>
          <t>CAS test</t>
        </is>
      </c>
      <c r="D302" s="192" t="inlineStr">
        <is>
          <t>2026-07-28</t>
        </is>
      </c>
      <c r="E302" s="192" t="inlineStr">
        <is>
          <t>—</t>
        </is>
      </c>
      <c r="F302" s="192" t="inlineStr">
        <is>
          <t>Harish Bhat</t>
        </is>
      </c>
      <c r="G302" s="192" t="inlineStr">
        <is>
          <t>Online</t>
        </is>
      </c>
      <c r="H302" s="192" t="inlineStr">
        <is>
          <t>CAS test</t>
        </is>
      </c>
      <c r="I302" s="193" t="n">
        <v>0.5</v>
      </c>
    </row>
    <row r="303" ht="15.75" customHeight="1" s="156">
      <c r="A303" s="192" t="inlineStr">
        <is>
          <t>July 2026</t>
        </is>
      </c>
      <c r="B303" s="192" t="inlineStr">
        <is>
          <t>Other</t>
        </is>
      </c>
      <c r="C303" s="192" t="inlineStr">
        <is>
          <t>varsity tickets</t>
        </is>
      </c>
      <c r="D303" s="192" t="inlineStr">
        <is>
          <t>2026-07-27</t>
        </is>
      </c>
      <c r="E303" s="192" t="inlineStr">
        <is>
          <t>—</t>
        </is>
      </c>
      <c r="F303" s="192" t="inlineStr">
        <is>
          <t>Harish Bhat</t>
        </is>
      </c>
      <c r="G303" s="192" t="inlineStr">
        <is>
          <t>Online</t>
        </is>
      </c>
      <c r="H303" s="192" t="inlineStr">
        <is>
          <t>varsity tickets</t>
        </is>
      </c>
      <c r="I303" s="193" t="n">
        <v>0.25</v>
      </c>
    </row>
    <row r="304" ht="15.75" customHeight="1" s="156">
      <c r="A304" s="192" t="inlineStr">
        <is>
          <t>July 2026</t>
        </is>
      </c>
      <c r="B304" s="192" t="inlineStr">
        <is>
          <t>Other</t>
        </is>
      </c>
      <c r="C304" s="192" t="inlineStr">
        <is>
          <t>varsity tickets</t>
        </is>
      </c>
      <c r="D304" s="192" t="inlineStr">
        <is>
          <t>2026-07-28</t>
        </is>
      </c>
      <c r="E304" s="192" t="inlineStr">
        <is>
          <t>—</t>
        </is>
      </c>
      <c r="F304" s="192" t="inlineStr">
        <is>
          <t>Harish Bhat</t>
        </is>
      </c>
      <c r="G304" s="192" t="inlineStr">
        <is>
          <t>Online</t>
        </is>
      </c>
      <c r="H304" s="192" t="inlineStr">
        <is>
          <t>varsity tickets</t>
        </is>
      </c>
      <c r="I304" s="193" t="n">
        <v>0.25</v>
      </c>
    </row>
    <row r="305" ht="15.75" customHeight="1" s="156">
      <c r="A305" s="192" t="inlineStr">
        <is>
          <t>July 2026</t>
        </is>
      </c>
      <c r="B305" s="192" t="inlineStr">
        <is>
          <t>Other</t>
        </is>
      </c>
      <c r="C305" s="192" t="inlineStr">
        <is>
          <t>varsity tickets</t>
        </is>
      </c>
      <c r="D305" s="192" t="inlineStr">
        <is>
          <t>2026-07-29</t>
        </is>
      </c>
      <c r="E305" s="192" t="inlineStr">
        <is>
          <t>—</t>
        </is>
      </c>
      <c r="F305" s="192" t="inlineStr">
        <is>
          <t>Harish Bhat</t>
        </is>
      </c>
      <c r="G305" s="192" t="inlineStr">
        <is>
          <t>Online</t>
        </is>
      </c>
      <c r="H305" s="192" t="inlineStr">
        <is>
          <t>varsity tickets</t>
        </is>
      </c>
      <c r="I305" s="193" t="n">
        <v>0.25</v>
      </c>
    </row>
    <row r="306" ht="15.75" customHeight="1" s="156">
      <c r="A306" s="192" t="inlineStr">
        <is>
          <t>July 2026</t>
        </is>
      </c>
      <c r="B306" s="192" t="inlineStr">
        <is>
          <t>Other</t>
        </is>
      </c>
      <c r="C306" s="192" t="inlineStr">
        <is>
          <t>varsity tickets</t>
        </is>
      </c>
      <c r="D306" s="192" t="inlineStr">
        <is>
          <t>2026-07-31</t>
        </is>
      </c>
      <c r="E306" s="192" t="inlineStr">
        <is>
          <t>—</t>
        </is>
      </c>
      <c r="F306" s="192" t="inlineStr">
        <is>
          <t>Harish Bhat</t>
        </is>
      </c>
      <c r="G306" s="192" t="inlineStr">
        <is>
          <t>Online</t>
        </is>
      </c>
      <c r="H306" s="192" t="inlineStr">
        <is>
          <t>varsity tickets</t>
        </is>
      </c>
      <c r="I306" s="193" t="n">
        <v>0.25</v>
      </c>
    </row>
    <row r="307" ht="15.75" customHeight="1" s="156">
      <c r="A307" s="192" t="inlineStr">
        <is>
          <t>July 2026</t>
        </is>
      </c>
      <c r="B307" s="192" t="inlineStr">
        <is>
          <t>Other</t>
        </is>
      </c>
      <c r="C307" s="192" t="inlineStr">
        <is>
          <t>Knowledge reinforcement session Preperation</t>
        </is>
      </c>
      <c r="D307" s="192" t="inlineStr">
        <is>
          <t>2026-07-28</t>
        </is>
      </c>
      <c r="E307" s="192" t="inlineStr">
        <is>
          <t>—</t>
        </is>
      </c>
      <c r="F307" s="192" t="inlineStr">
        <is>
          <t>Harish Bhat</t>
        </is>
      </c>
      <c r="G307" s="192" t="inlineStr">
        <is>
          <t>Online</t>
        </is>
      </c>
      <c r="H307" s="192" t="inlineStr">
        <is>
          <t>Knowledge reinforcement session Preperation</t>
        </is>
      </c>
      <c r="I307" s="193" t="n">
        <v>6</v>
      </c>
    </row>
    <row r="308" ht="15.75" customHeight="1" s="156">
      <c r="A308" s="192" t="inlineStr">
        <is>
          <t>July 2026</t>
        </is>
      </c>
      <c r="B308" s="192" t="inlineStr">
        <is>
          <t>Support Training</t>
        </is>
      </c>
      <c r="C308" s="192" t="inlineStr">
        <is>
          <t>Knowledge reinforcement session - Short delivery</t>
        </is>
      </c>
      <c r="D308" s="192" t="inlineStr">
        <is>
          <t>2026-07-29</t>
        </is>
      </c>
      <c r="E308" s="192" t="inlineStr">
        <is>
          <t>—</t>
        </is>
      </c>
      <c r="F308" s="192" t="inlineStr">
        <is>
          <t>Harish Bhat</t>
        </is>
      </c>
      <c r="G308" s="192" t="inlineStr">
        <is>
          <t>Online</t>
        </is>
      </c>
      <c r="H308" s="192" t="inlineStr">
        <is>
          <t>Knowledge reinforcement session - Short delivery</t>
        </is>
      </c>
      <c r="I308" s="193" t="n">
        <v>1.5</v>
      </c>
    </row>
    <row r="309" ht="15.75" customHeight="1" s="156">
      <c r="A309" s="192" t="inlineStr">
        <is>
          <t>July 2026</t>
        </is>
      </c>
      <c r="B309" s="192" t="inlineStr">
        <is>
          <t>Support Training</t>
        </is>
      </c>
      <c r="C309" s="192" t="inlineStr">
        <is>
          <t>Knowledge reinforcement session - Short delivery</t>
        </is>
      </c>
      <c r="D309" s="192" t="inlineStr">
        <is>
          <t>2026-07-29</t>
        </is>
      </c>
      <c r="E309" s="192" t="inlineStr">
        <is>
          <t>—</t>
        </is>
      </c>
      <c r="F309" s="192" t="inlineStr">
        <is>
          <t>Harish Bhat</t>
        </is>
      </c>
      <c r="G309" s="192" t="inlineStr">
        <is>
          <t>Online</t>
        </is>
      </c>
      <c r="H309" s="192" t="inlineStr">
        <is>
          <t>Knowledge reinforcement session - Short delivery</t>
        </is>
      </c>
      <c r="I309" s="193" t="n">
        <v>1</v>
      </c>
    </row>
    <row r="310" ht="15.75" customHeight="1" s="156">
      <c r="A310" s="192" t="inlineStr">
        <is>
          <t>July 2026</t>
        </is>
      </c>
      <c r="B310" s="192" t="inlineStr">
        <is>
          <t>Support Training</t>
        </is>
      </c>
      <c r="C310" s="192" t="inlineStr">
        <is>
          <t>Knowledge reinforcement session - Short delivery</t>
        </is>
      </c>
      <c r="D310" s="192" t="inlineStr">
        <is>
          <t>2026-07-30</t>
        </is>
      </c>
      <c r="E310" s="192" t="inlineStr">
        <is>
          <t>—</t>
        </is>
      </c>
      <c r="F310" s="192" t="inlineStr">
        <is>
          <t>Harish Bhat</t>
        </is>
      </c>
      <c r="G310" s="192" t="inlineStr">
        <is>
          <t>Online</t>
        </is>
      </c>
      <c r="H310" s="192" t="inlineStr">
        <is>
          <t>Knowledge reinforcement session - Short delivery</t>
        </is>
      </c>
      <c r="I310" s="193" t="n">
        <v>1</v>
      </c>
    </row>
    <row r="311" ht="15.75" customHeight="1" s="156">
      <c r="A311" s="192" t="inlineStr">
        <is>
          <t>July 2026</t>
        </is>
      </c>
      <c r="B311" s="192" t="inlineStr">
        <is>
          <t>Support Training</t>
        </is>
      </c>
      <c r="C311" s="192" t="inlineStr">
        <is>
          <t>Knowledge reinforcement session - Short delivery</t>
        </is>
      </c>
      <c r="D311" s="192" t="inlineStr">
        <is>
          <t>2026-07-30</t>
        </is>
      </c>
      <c r="E311" s="192" t="inlineStr">
        <is>
          <t>—</t>
        </is>
      </c>
      <c r="F311" s="192" t="inlineStr">
        <is>
          <t>Harish Bhat</t>
        </is>
      </c>
      <c r="G311" s="192" t="inlineStr">
        <is>
          <t>Online</t>
        </is>
      </c>
      <c r="H311" s="192" t="inlineStr">
        <is>
          <t>Knowledge reinforcement session - Short delivery</t>
        </is>
      </c>
      <c r="I311" s="193" t="n">
        <v>1</v>
      </c>
    </row>
    <row r="312" ht="15.75" customHeight="1" s="156">
      <c r="A312" s="192" t="inlineStr">
        <is>
          <t>July 2026</t>
        </is>
      </c>
      <c r="B312" s="192" t="inlineStr">
        <is>
          <t>Support Training</t>
        </is>
      </c>
      <c r="C312" s="192" t="inlineStr">
        <is>
          <t>Knowledge reinforcement session - MTF</t>
        </is>
      </c>
      <c r="D312" s="192" t="inlineStr">
        <is>
          <t>2026-07-30</t>
        </is>
      </c>
      <c r="E312" s="192" t="inlineStr">
        <is>
          <t>—</t>
        </is>
      </c>
      <c r="F312" s="192" t="inlineStr">
        <is>
          <t>Harish Bhat</t>
        </is>
      </c>
      <c r="G312" s="192" t="inlineStr">
        <is>
          <t>Online</t>
        </is>
      </c>
      <c r="H312" s="192" t="inlineStr">
        <is>
          <t>Knowledge reinforcement session - MTF</t>
        </is>
      </c>
      <c r="I312" s="193" t="n">
        <v>1.5</v>
      </c>
    </row>
    <row r="313" ht="15.75" customHeight="1" s="156">
      <c r="A313" s="192" t="inlineStr">
        <is>
          <t>July 2026</t>
        </is>
      </c>
      <c r="B313" s="192" t="inlineStr">
        <is>
          <t>Other</t>
        </is>
      </c>
      <c r="C313" s="192" t="inlineStr">
        <is>
          <t>varsity tickets</t>
        </is>
      </c>
      <c r="D313" s="192" t="inlineStr">
        <is>
          <t>2026-07-30</t>
        </is>
      </c>
      <c r="E313" s="192" t="inlineStr">
        <is>
          <t>—</t>
        </is>
      </c>
      <c r="F313" s="192" t="inlineStr">
        <is>
          <t>Harish Bhat</t>
        </is>
      </c>
      <c r="G313" s="192" t="inlineStr">
        <is>
          <t>Online</t>
        </is>
      </c>
      <c r="H313" s="192" t="inlineStr">
        <is>
          <t>varsity tickets</t>
        </is>
      </c>
      <c r="I313" s="193" t="n">
        <v>0.25</v>
      </c>
    </row>
    <row r="314" ht="15.75" customHeight="1" s="156">
      <c r="A314" s="192" t="inlineStr">
        <is>
          <t>July 2026</t>
        </is>
      </c>
      <c r="B314" s="192" t="inlineStr">
        <is>
          <t>Support Training</t>
        </is>
      </c>
      <c r="C314" s="192" t="inlineStr">
        <is>
          <t>Knowledge reinforcement session - MTF</t>
        </is>
      </c>
      <c r="D314" s="192" t="inlineStr">
        <is>
          <t>2026-07-31</t>
        </is>
      </c>
      <c r="E314" s="192" t="inlineStr">
        <is>
          <t>—</t>
        </is>
      </c>
      <c r="F314" s="192" t="inlineStr">
        <is>
          <t>Harish Bhat</t>
        </is>
      </c>
      <c r="G314" s="192" t="inlineStr">
        <is>
          <t>Online</t>
        </is>
      </c>
      <c r="H314" s="192" t="inlineStr">
        <is>
          <t>Knowledge reinforcement session - MTF</t>
        </is>
      </c>
      <c r="I314" s="193" t="n">
        <v>1</v>
      </c>
    </row>
    <row r="315" ht="15.75" customHeight="1" s="156">
      <c r="A315" s="192" t="inlineStr">
        <is>
          <t>July 2026</t>
        </is>
      </c>
      <c r="B315" s="192" t="inlineStr">
        <is>
          <t>Support Training</t>
        </is>
      </c>
      <c r="C315" s="192" t="inlineStr">
        <is>
          <t>Knowledge reinforcement session - MTF</t>
        </is>
      </c>
      <c r="D315" s="192" t="inlineStr">
        <is>
          <t>2026-07-31</t>
        </is>
      </c>
      <c r="E315" s="192" t="inlineStr">
        <is>
          <t>—</t>
        </is>
      </c>
      <c r="F315" s="192" t="inlineStr">
        <is>
          <t>Harish Bhat</t>
        </is>
      </c>
      <c r="G315" s="192" t="inlineStr">
        <is>
          <t>Online</t>
        </is>
      </c>
      <c r="H315" s="192" t="inlineStr">
        <is>
          <t>Knowledge reinforcement session - MTF</t>
        </is>
      </c>
      <c r="I315" s="193" t="n">
        <v>1</v>
      </c>
    </row>
    <row r="316" ht="15.75" customHeight="1" s="156">
      <c r="A316" s="192" t="inlineStr">
        <is>
          <t>July 2026</t>
        </is>
      </c>
      <c r="B316" s="192" t="inlineStr">
        <is>
          <t>Support Training</t>
        </is>
      </c>
      <c r="C316" s="192" t="inlineStr">
        <is>
          <t>Knowledge reinforcement session - MTF</t>
        </is>
      </c>
      <c r="D316" s="192" t="inlineStr">
        <is>
          <t>2026-07-31</t>
        </is>
      </c>
      <c r="E316" s="192" t="inlineStr">
        <is>
          <t>—</t>
        </is>
      </c>
      <c r="F316" s="192" t="inlineStr">
        <is>
          <t>Harish Bhat</t>
        </is>
      </c>
      <c r="G316" s="192" t="inlineStr">
        <is>
          <t>Online</t>
        </is>
      </c>
      <c r="H316" s="192" t="inlineStr">
        <is>
          <t>Knowledge reinforcement session - MTF</t>
        </is>
      </c>
      <c r="I316" s="193" t="n">
        <v>1</v>
      </c>
    </row>
    <row r="317" ht="15.75" customHeight="1" s="156">
      <c r="A317" s="192" t="inlineStr">
        <is>
          <t>July 2026</t>
        </is>
      </c>
      <c r="B317" s="192" t="inlineStr">
        <is>
          <t>Other</t>
        </is>
      </c>
      <c r="C317" s="192" t="inlineStr">
        <is>
          <t>QSB training data Preparation</t>
        </is>
      </c>
      <c r="D317" s="192" t="inlineStr">
        <is>
          <t>2026-07-14</t>
        </is>
      </c>
      <c r="E317" s="192" t="inlineStr">
        <is>
          <t>—</t>
        </is>
      </c>
      <c r="F317" s="192" t="inlineStr">
        <is>
          <t>Harish Bhat</t>
        </is>
      </c>
      <c r="G317" s="192" t="inlineStr">
        <is>
          <t>Online</t>
        </is>
      </c>
      <c r="H317" s="192" t="inlineStr">
        <is>
          <t>QSB training data Preparation</t>
        </is>
      </c>
      <c r="I317" s="193" t="n">
        <v>4</v>
      </c>
    </row>
    <row r="318" ht="15.75" customHeight="1" s="156">
      <c r="A318" s="192" t="inlineStr">
        <is>
          <t>July 2026</t>
        </is>
      </c>
      <c r="B318" s="192" t="inlineStr">
        <is>
          <t>Other</t>
        </is>
      </c>
      <c r="C318" s="192" t="inlineStr">
        <is>
          <t>NRI OJT</t>
        </is>
      </c>
      <c r="D318" s="192" t="inlineStr">
        <is>
          <t>2026-07-03</t>
        </is>
      </c>
      <c r="E318" s="192" t="inlineStr">
        <is>
          <t>—</t>
        </is>
      </c>
      <c r="F318" s="192" t="inlineStr">
        <is>
          <t>Girish A</t>
        </is>
      </c>
      <c r="G318" s="192" t="inlineStr">
        <is>
          <t>Online</t>
        </is>
      </c>
      <c r="H318" s="192" t="inlineStr">
        <is>
          <t>NRI OJT</t>
        </is>
      </c>
      <c r="I318" s="193" t="n">
        <v>1</v>
      </c>
    </row>
    <row r="319" ht="15.75" customHeight="1" s="156">
      <c r="A319" s="192" t="inlineStr">
        <is>
          <t>July 2026</t>
        </is>
      </c>
      <c r="B319" s="192" t="inlineStr">
        <is>
          <t>Other</t>
        </is>
      </c>
      <c r="C319" s="192" t="inlineStr">
        <is>
          <t>NRI OJT</t>
        </is>
      </c>
      <c r="D319" s="192" t="inlineStr">
        <is>
          <t>2026-07-06</t>
        </is>
      </c>
      <c r="E319" s="192" t="inlineStr">
        <is>
          <t>—</t>
        </is>
      </c>
      <c r="F319" s="192" t="inlineStr">
        <is>
          <t>Girish A</t>
        </is>
      </c>
      <c r="G319" s="192" t="inlineStr">
        <is>
          <t>Online</t>
        </is>
      </c>
      <c r="H319" s="192" t="inlineStr">
        <is>
          <t>NRI OJT</t>
        </is>
      </c>
      <c r="I319" s="193" t="n">
        <v>1.5</v>
      </c>
    </row>
    <row r="320" ht="15.75" customHeight="1" s="156">
      <c r="A320" s="192" t="inlineStr">
        <is>
          <t>July 2026</t>
        </is>
      </c>
      <c r="B320" s="192" t="inlineStr">
        <is>
          <t>Other</t>
        </is>
      </c>
      <c r="C320" s="192" t="inlineStr">
        <is>
          <t>Closing Auction Settlement preperation</t>
        </is>
      </c>
      <c r="D320" s="192" t="inlineStr">
        <is>
          <t>2026-07-17</t>
        </is>
      </c>
      <c r="E320" s="192" t="inlineStr">
        <is>
          <t>—</t>
        </is>
      </c>
      <c r="F320" s="192" t="inlineStr">
        <is>
          <t>Girish A</t>
        </is>
      </c>
      <c r="G320" s="192" t="inlineStr">
        <is>
          <t>Online</t>
        </is>
      </c>
      <c r="H320" s="192" t="inlineStr">
        <is>
          <t>Closing Auction Settlement preperation</t>
        </is>
      </c>
      <c r="I320" s="193" t="n">
        <v>1</v>
      </c>
    </row>
    <row r="321" ht="15.75" customHeight="1" s="156">
      <c r="A321" s="192" t="inlineStr">
        <is>
          <t>July 2026</t>
        </is>
      </c>
      <c r="B321" s="192" t="inlineStr">
        <is>
          <t>Support Training</t>
        </is>
      </c>
      <c r="C321" s="192" t="inlineStr">
        <is>
          <t>Knowledge reinforcement session - Short delivery</t>
        </is>
      </c>
      <c r="D321" s="192" t="inlineStr">
        <is>
          <t>2026-07-29</t>
        </is>
      </c>
      <c r="E321" s="192" t="inlineStr">
        <is>
          <t>—</t>
        </is>
      </c>
      <c r="F321" s="192" t="inlineStr">
        <is>
          <t>Girish A</t>
        </is>
      </c>
      <c r="G321" s="192" t="inlineStr">
        <is>
          <t>Online</t>
        </is>
      </c>
      <c r="H321" s="192" t="inlineStr">
        <is>
          <t>Knowledge reinforcement session - Short delivery</t>
        </is>
      </c>
      <c r="I321" s="193" t="n">
        <v>1.5</v>
      </c>
    </row>
    <row r="322" ht="15.75" customHeight="1" s="156">
      <c r="A322" s="192" t="inlineStr">
        <is>
          <t>July 2026</t>
        </is>
      </c>
      <c r="B322" s="192" t="inlineStr">
        <is>
          <t>Other</t>
        </is>
      </c>
      <c r="C322" s="192" t="inlineStr">
        <is>
          <t>Knowledge reinforcement session preperation</t>
        </is>
      </c>
      <c r="D322" s="192" t="inlineStr">
        <is>
          <t>2026-07-28</t>
        </is>
      </c>
      <c r="E322" s="192" t="inlineStr">
        <is>
          <t>—</t>
        </is>
      </c>
      <c r="F322" s="192" t="inlineStr">
        <is>
          <t>Girish A</t>
        </is>
      </c>
      <c r="G322" s="192" t="inlineStr">
        <is>
          <t>Online</t>
        </is>
      </c>
      <c r="H322" s="192" t="inlineStr">
        <is>
          <t>Knowledge reinforcement session preperation</t>
        </is>
      </c>
      <c r="I322" s="193" t="n">
        <v>6</v>
      </c>
    </row>
    <row r="323" ht="15.75" customHeight="1" s="156">
      <c r="A323" s="192" t="inlineStr">
        <is>
          <t>July 2026</t>
        </is>
      </c>
      <c r="B323" s="192" t="inlineStr">
        <is>
          <t>Support Training</t>
        </is>
      </c>
      <c r="C323" s="192" t="inlineStr">
        <is>
          <t>Knowledge reinforcement session - Short delivery</t>
        </is>
      </c>
      <c r="D323" s="192" t="inlineStr">
        <is>
          <t>2026-07-30</t>
        </is>
      </c>
      <c r="E323" s="192" t="inlineStr">
        <is>
          <t>—</t>
        </is>
      </c>
      <c r="F323" s="192" t="inlineStr">
        <is>
          <t>Girish A</t>
        </is>
      </c>
      <c r="G323" s="192" t="inlineStr">
        <is>
          <t>Online</t>
        </is>
      </c>
      <c r="H323" s="192" t="inlineStr">
        <is>
          <t>Knowledge reinforcement session - Short delivery</t>
        </is>
      </c>
      <c r="I323" s="193" t="n">
        <v>1</v>
      </c>
    </row>
    <row r="324" ht="15.75" customHeight="1" s="156">
      <c r="A324" s="192" t="inlineStr">
        <is>
          <t>July 2026</t>
        </is>
      </c>
      <c r="B324" s="192" t="inlineStr">
        <is>
          <t>Support Training</t>
        </is>
      </c>
      <c r="C324" s="192" t="inlineStr">
        <is>
          <t>Knowledge reinforcement session - MTF</t>
        </is>
      </c>
      <c r="D324" s="192" t="inlineStr">
        <is>
          <t>2026-07-30</t>
        </is>
      </c>
      <c r="E324" s="192" t="inlineStr">
        <is>
          <t>—</t>
        </is>
      </c>
      <c r="F324" s="192" t="inlineStr">
        <is>
          <t>Girish A</t>
        </is>
      </c>
      <c r="G324" s="192" t="inlineStr">
        <is>
          <t>Online</t>
        </is>
      </c>
      <c r="H324" s="192" t="inlineStr">
        <is>
          <t>Knowledge reinforcement session - MTF</t>
        </is>
      </c>
      <c r="I324" s="193" t="n">
        <v>1.5</v>
      </c>
    </row>
    <row r="325" ht="15.75" customHeight="1" s="156">
      <c r="A325" s="192" t="inlineStr">
        <is>
          <t>July 2026</t>
        </is>
      </c>
      <c r="B325" s="192" t="inlineStr">
        <is>
          <t>Support Training</t>
        </is>
      </c>
      <c r="C325" s="192" t="inlineStr">
        <is>
          <t>Knowledge reinforcement session - MTF</t>
        </is>
      </c>
      <c r="D325" s="192" t="inlineStr">
        <is>
          <t>2026-07-31</t>
        </is>
      </c>
      <c r="E325" s="192" t="inlineStr">
        <is>
          <t>—</t>
        </is>
      </c>
      <c r="F325" s="192" t="inlineStr">
        <is>
          <t>Girish A</t>
        </is>
      </c>
      <c r="G325" s="192" t="inlineStr">
        <is>
          <t>Online</t>
        </is>
      </c>
      <c r="H325" s="192" t="inlineStr">
        <is>
          <t>Knowledge reinforcement session - MTF</t>
        </is>
      </c>
      <c r="I325" s="193" t="n">
        <v>1</v>
      </c>
    </row>
    <row r="326" ht="15.75" customHeight="1" s="156">
      <c r="A326" s="192" t="inlineStr">
        <is>
          <t>July 2026</t>
        </is>
      </c>
      <c r="B326" s="192" t="inlineStr">
        <is>
          <t>Support Training</t>
        </is>
      </c>
      <c r="C326" s="192" t="inlineStr">
        <is>
          <t>Knowledge reinforcement session - MTF</t>
        </is>
      </c>
      <c r="D326" s="192" t="inlineStr">
        <is>
          <t>2026-07-31</t>
        </is>
      </c>
      <c r="E326" s="192" t="inlineStr">
        <is>
          <t>—</t>
        </is>
      </c>
      <c r="F326" s="192" t="inlineStr">
        <is>
          <t>Girish A</t>
        </is>
      </c>
      <c r="G326" s="192" t="inlineStr">
        <is>
          <t>Online</t>
        </is>
      </c>
      <c r="H326" s="192" t="inlineStr">
        <is>
          <t>Knowledge reinforcement session - MTF</t>
        </is>
      </c>
      <c r="I326" s="193" t="n">
        <v>1</v>
      </c>
    </row>
    <row r="327" ht="15.75" customHeight="1" s="156">
      <c r="A327" s="192" t="inlineStr">
        <is>
          <t>July 2026</t>
        </is>
      </c>
      <c r="B327" s="192" t="inlineStr">
        <is>
          <t>Other</t>
        </is>
      </c>
      <c r="C327" s="192" t="inlineStr">
        <is>
          <t>NRI session planner</t>
        </is>
      </c>
      <c r="D327" s="192" t="inlineStr">
        <is>
          <t>2026-07-16</t>
        </is>
      </c>
      <c r="E327" s="192" t="inlineStr">
        <is>
          <t>—</t>
        </is>
      </c>
      <c r="F327" s="192" t="inlineStr">
        <is>
          <t>Girish A</t>
        </is>
      </c>
      <c r="G327" s="192" t="inlineStr">
        <is>
          <t>Online</t>
        </is>
      </c>
      <c r="H327" s="192" t="inlineStr">
        <is>
          <t>NRI session planner</t>
        </is>
      </c>
      <c r="I327" s="193" t="n">
        <v>1</v>
      </c>
    </row>
    <row r="328" ht="15.75" customHeight="1" s="156">
      <c r="A328" s="192" t="inlineStr">
        <is>
          <t>July 2026</t>
        </is>
      </c>
      <c r="B328" s="192" t="inlineStr">
        <is>
          <t>Other</t>
        </is>
      </c>
      <c r="C328" s="192" t="inlineStr">
        <is>
          <t>Support Session planner</t>
        </is>
      </c>
      <c r="D328" s="192" t="inlineStr">
        <is>
          <t>2026-07-22</t>
        </is>
      </c>
      <c r="E328" s="192" t="inlineStr">
        <is>
          <t>—</t>
        </is>
      </c>
      <c r="F328" s="192" t="inlineStr">
        <is>
          <t>Girish A</t>
        </is>
      </c>
      <c r="G328" s="192" t="inlineStr">
        <is>
          <t>Online</t>
        </is>
      </c>
      <c r="H328" s="192" t="inlineStr">
        <is>
          <t>Support Session planner</t>
        </is>
      </c>
      <c r="I328" s="193" t="n">
        <v>2</v>
      </c>
    </row>
    <row r="329" ht="15.75" customHeight="1" s="156">
      <c r="A329" s="192" t="inlineStr">
        <is>
          <t>July 2026</t>
        </is>
      </c>
      <c r="B329" s="192" t="inlineStr">
        <is>
          <t>Support Training</t>
        </is>
      </c>
      <c r="C329" s="192" t="inlineStr">
        <is>
          <t>Knowledge reinforcement session - Short delivery</t>
        </is>
      </c>
      <c r="D329" s="192" t="inlineStr">
        <is>
          <t>2026-07-29</t>
        </is>
      </c>
      <c r="E329" s="192" t="inlineStr">
        <is>
          <t>—</t>
        </is>
      </c>
      <c r="F329" s="192" t="inlineStr">
        <is>
          <t>Girish A</t>
        </is>
      </c>
      <c r="G329" s="192" t="inlineStr">
        <is>
          <t>Online</t>
        </is>
      </c>
      <c r="H329" s="192" t="inlineStr">
        <is>
          <t>Knowledge reinforcement session - Short delivery</t>
        </is>
      </c>
      <c r="I329" s="193" t="n">
        <v>1</v>
      </c>
    </row>
    <row r="330" ht="15.75" customHeight="1" s="156">
      <c r="A330" s="192" t="inlineStr">
        <is>
          <t>July 2026</t>
        </is>
      </c>
      <c r="B330" s="192" t="inlineStr">
        <is>
          <t>Other</t>
        </is>
      </c>
      <c r="C330" s="192" t="inlineStr">
        <is>
          <t>OQD</t>
        </is>
      </c>
      <c r="D330" s="192" t="inlineStr">
        <is>
          <t>2026-07-01</t>
        </is>
      </c>
      <c r="E330" s="192" t="inlineStr">
        <is>
          <t>—</t>
        </is>
      </c>
      <c r="F330" s="192" t="inlineStr">
        <is>
          <t>Girish A</t>
        </is>
      </c>
      <c r="G330" s="192" t="inlineStr">
        <is>
          <t>Online</t>
        </is>
      </c>
      <c r="H330" s="192" t="inlineStr">
        <is>
          <t>OQD</t>
        </is>
      </c>
      <c r="I330" s="193" t="n">
        <v>1</v>
      </c>
    </row>
    <row r="331" ht="15.75" customHeight="1" s="156">
      <c r="A331" s="192" t="inlineStr">
        <is>
          <t>July 2026</t>
        </is>
      </c>
      <c r="B331" s="192" t="inlineStr">
        <is>
          <t>Other</t>
        </is>
      </c>
      <c r="C331" s="192" t="inlineStr">
        <is>
          <t>qod</t>
        </is>
      </c>
      <c r="D331" s="192" t="inlineStr">
        <is>
          <t>2026-07-07</t>
        </is>
      </c>
      <c r="E331" s="192" t="inlineStr">
        <is>
          <t>—</t>
        </is>
      </c>
      <c r="F331" s="192" t="inlineStr">
        <is>
          <t>Girish A</t>
        </is>
      </c>
      <c r="G331" s="192" t="inlineStr">
        <is>
          <t>Online</t>
        </is>
      </c>
      <c r="H331" s="192" t="inlineStr">
        <is>
          <t>qod</t>
        </is>
      </c>
      <c r="I331" s="193" t="n">
        <v>2</v>
      </c>
    </row>
    <row r="332" ht="15.75" customHeight="1" s="156">
      <c r="A332" s="192" t="inlineStr">
        <is>
          <t>July 2026</t>
        </is>
      </c>
      <c r="B332" s="192" t="inlineStr">
        <is>
          <t>Other</t>
        </is>
      </c>
      <c r="C332" s="192" t="inlineStr">
        <is>
          <t>QOD</t>
        </is>
      </c>
      <c r="D332" s="192" t="inlineStr">
        <is>
          <t>2026-07-14</t>
        </is>
      </c>
      <c r="E332" s="192" t="inlineStr">
        <is>
          <t>—</t>
        </is>
      </c>
      <c r="F332" s="192" t="inlineStr">
        <is>
          <t>Girish A</t>
        </is>
      </c>
      <c r="G332" s="192" t="inlineStr">
        <is>
          <t>Online</t>
        </is>
      </c>
      <c r="H332" s="192" t="inlineStr">
        <is>
          <t>QOD</t>
        </is>
      </c>
      <c r="I332" s="193" t="n">
        <v>2</v>
      </c>
    </row>
    <row r="333" ht="15.75" customHeight="1" s="156">
      <c r="A333" s="192" t="inlineStr">
        <is>
          <t>July 2026</t>
        </is>
      </c>
      <c r="B333" s="192" t="inlineStr">
        <is>
          <t>Other</t>
        </is>
      </c>
      <c r="C333" s="192" t="inlineStr">
        <is>
          <t>NRI session planner</t>
        </is>
      </c>
      <c r="D333" s="192" t="inlineStr">
        <is>
          <t>2026-07-14</t>
        </is>
      </c>
      <c r="E333" s="192" t="inlineStr">
        <is>
          <t>—</t>
        </is>
      </c>
      <c r="F333" s="192" t="inlineStr">
        <is>
          <t>Girish A</t>
        </is>
      </c>
      <c r="G333" s="192" t="inlineStr">
        <is>
          <t>Online</t>
        </is>
      </c>
      <c r="H333" s="192" t="inlineStr">
        <is>
          <t>NRI session planner</t>
        </is>
      </c>
      <c r="I333" s="193" t="n">
        <v>2</v>
      </c>
    </row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/>
    <row r="11" ht="15" customHeight="1" s="156">
      <c r="A11" t="inlineStr">
        <is>
          <t>Session Type</t>
        </is>
      </c>
      <c r="B11" t="inlineStr">
        <is>
          <t>Hours</t>
        </is>
      </c>
    </row>
    <row r="12">
      <c r="A12" t="inlineStr">
        <is>
          <t>Online</t>
        </is>
      </c>
      <c r="B12">
        <f>IF(Dashboard!$D$6="All Months",SUMIF(Data!$G$2:$G$1000,"Online",Data!$I$2:$I$1000),SUMPRODUCT((Data!$A$2:$A$1000=Dashboard!$D$6)*(Data!$G$2:$G$1000="Online")*Data!$I$2:$I$1000))</f>
        <v/>
      </c>
    </row>
    <row r="13">
      <c r="A13" t="inlineStr">
        <is>
          <t>Offline</t>
        </is>
      </c>
      <c r="B13">
        <f>IF(Dashboard!$D$6="All Months",SUMIF(Data!$G$2:$G$1000,"Offline",Data!$I$2:$I$1000),SUMPRODUCT((Data!$A$2:$A$1000=Dashboard!$D$6)*(Data!$G$2:$G$1000="Offline")*Data!$I$2:$I$1000))</f>
        <v/>
      </c>
    </row>
    <row r="14" ht="15" customHeight="1" s="156"/>
    <row r="15" ht="15" customHeight="1" s="156">
      <c r="A15" t="inlineStr">
        <is>
          <t>Activity</t>
        </is>
      </c>
      <c r="B15" t="inlineStr">
        <is>
          <t>Hours</t>
        </is>
      </c>
    </row>
    <row r="16" ht="15" customHeight="1" s="156">
      <c r="A16" t="inlineStr">
        <is>
          <t>Project Maven</t>
        </is>
      </c>
      <c r="B16">
        <f>IF(Dashboard!$D$6="All Months",SUMIF(Data!$B$2:$B$1000,"Project Maven",Data!$I$2:$I$1000),SUMPRODUCT((Data!$A$2:$A$1000=Dashboard!$D$6)*(Data!$B$2:$B$1000="Project Maven")*Data!$I$2:$I$1000))</f>
        <v/>
      </c>
    </row>
    <row r="17" ht="15" customHeight="1" s="156">
      <c r="A17" t="inlineStr">
        <is>
          <t>Support Training</t>
        </is>
      </c>
      <c r="B17">
        <f>IF(Dashboard!$D$6="All Months",SUMIF(Data!$B$2:$B$1000,"Support Training",Data!$I$2:$I$1000),SUMPRODUCT((Data!$A$2:$A$1000=Dashboard!$D$6)*(Data!$B$2:$B$1000="Support Training")*Data!$I$2:$I$1000))</f>
        <v/>
      </c>
    </row>
    <row r="18" ht="15" customHeight="1" s="156">
      <c r="A18" t="inlineStr">
        <is>
          <t>Other</t>
        </is>
      </c>
      <c r="B18">
        <f>IF(Dashboard!$D$6="All Months",SUMIF(Data!$B$2:$B$1000,"Other",Data!$I$2:$I$1000),SUMPRODUCT((Data!$A$2:$A$1000=Dashboard!$D$6)*(Data!$B$2:$B$1000="Other")*Data!$I$2:$I$1000))</f>
        <v/>
      </c>
    </row>
    <row r="19" ht="15" customHeight="1" s="156">
      <c r="A19" t="inlineStr">
        <is>
          <t>Assessment</t>
        </is>
      </c>
      <c r="B19">
        <f>IF(Dashboard!$D$6="All Months",SUMIF(Data!$B$2:$B$1000,"Assessment",Data!$I$2:$I$1000),SUMPRODUCT((Data!$A$2:$A$1000=Dashboard!$D$6)*(Data!$B$2:$B$1000="Assessment")*Data!$I$2:$I$1000))</f>
        <v/>
      </c>
    </row>
    <row r="20" ht="15" customHeight="1" s="156">
      <c r="A20" t="inlineStr">
        <is>
          <t>Refresher for Entire Support</t>
        </is>
      </c>
      <c r="B20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1" ht="15.75" customHeight="1" s="156">
      <c r="A21" t="inlineStr">
        <is>
          <t>Support Team OJT</t>
        </is>
      </c>
      <c r="B21">
        <f>IF(Dashboard!$D$6="All Months",SUMIF(Data!$B$2:$B$1000,"Support Team OJT",Data!$I$2:$I$1000),SUMPRODUCT((Data!$A$2:$A$1000=Dashboard!$D$6)*(Data!$B$2:$B$1000="Support Team OJT")*Data!$I$2:$I$1000))</f>
        <v/>
      </c>
    </row>
    <row r="22" ht="15.75" customHeight="1" s="156">
      <c r="A22" t="inlineStr">
        <is>
          <t>Refresher</t>
        </is>
      </c>
      <c r="B22">
        <f>IF(Dashboard!$D$6="All Months",SUMIF(Data!$B$2:$B$1000,"Refresher",Data!$I$2:$I$1000),SUMPRODUCT((Data!$A$2:$A$1000=Dashboard!$D$6)*(Data!$B$2:$B$1000="Refresher")*Data!$I$2:$I$1000))</f>
        <v/>
      </c>
    </row>
    <row r="23" ht="15.75" customHeight="1" s="156">
      <c r="A23" t="inlineStr">
        <is>
          <t>Team Refresher</t>
        </is>
      </c>
      <c r="B23">
        <f>IF(Dashboard!$D$6="All Months",SUMIF(Data!$B$2:$B$1000,"Team Refresher",Data!$I$2:$I$1000),SUMPRODUCT((Data!$A$2:$A$1000=Dashboard!$D$6)*(Data!$B$2:$B$1000="Team Refresher")*Data!$I$2:$I$1000))</f>
        <v/>
      </c>
    </row>
    <row r="24" ht="15.75" customHeight="1" s="156">
      <c r="A24" t="inlineStr">
        <is>
          <t>ACOP Team Refresher</t>
        </is>
      </c>
      <c r="B24">
        <f>IF(Dashboard!$D$6="All Months",SUMIF(Data!$B$2:$B$1000,"ACOP Team Refresher",Data!$I$2:$I$1000),SUMPRODUCT((Data!$A$2:$A$1000=Dashboard!$D$6)*(Data!$B$2:$B$1000="ACOP Team Refresher")*Data!$I$2:$I$1000))</f>
        <v/>
      </c>
    </row>
    <row r="25" ht="15.75" customHeight="1" s="156">
      <c r="A25" t="inlineStr">
        <is>
          <t>Varsity Backend Support</t>
        </is>
      </c>
      <c r="B25">
        <f>IF(Dashboard!$D$6="All Months",SUMIF(Data!$B$2:$B$1000,"Varsity Backend Support",Data!$I$2:$I$1000),SUMPRODUCT((Data!$A$2:$A$1000=Dashboard!$D$6)*(Data!$B$2:$B$1000="Varsity Backend Support")*Data!$I$2:$I$1000))</f>
        <v/>
      </c>
    </row>
    <row r="26" ht="15.75" customHeight="1" s="156">
      <c r="A26" t="inlineStr">
        <is>
          <t>Refresher for Evening Support</t>
        </is>
      </c>
      <c r="B26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7" ht="15.75" customHeight="1" s="156">
      <c r="A27" t="inlineStr">
        <is>
          <t>Refresher for Support</t>
        </is>
      </c>
      <c r="B27">
        <f>IF(Dashboard!$D$6="All Months",SUMIF(Data!$B$2:$B$1000,"Refresher for Support",Data!$I$2:$I$1000),SUMPRODUCT((Data!$A$2:$A$1000=Dashboard!$D$6)*(Data!$B$2:$B$1000="Refresher for Support")*Data!$I$2:$I$1000))</f>
        <v/>
      </c>
    </row>
    <row r="28" ht="15.75" customHeight="1" s="156">
      <c r="A28" t="inlineStr">
        <is>
          <t>Mock Calls</t>
        </is>
      </c>
      <c r="B28">
        <f>IF(Dashboard!$D$6="All Months",SUMIF(Data!$B$2:$B$1000,"Mock Calls",Data!$I$2:$I$1000),SUMPRODUCT((Data!$A$2:$A$1000=Dashboard!$D$6)*(Data!$B$2:$B$1000="Mock Calls")*Data!$I$2:$I$1000))</f>
        <v/>
      </c>
    </row>
    <row r="29" ht="15.75" customHeight="1" s="156">
      <c r="A29" t="inlineStr">
        <is>
          <t>Webinar</t>
        </is>
      </c>
      <c r="B29">
        <f>IF(Dashboard!$D$6="All Months",SUMIF(Data!$B$2:$B$1000,"Webinar",Data!$I$2:$I$1000),SUMPRODUCT((Data!$A$2:$A$1000=Dashboard!$D$6)*(Data!$B$2:$B$1000="Webinar")*Data!$I$2:$I$1000))</f>
        <v/>
      </c>
    </row>
    <row r="30" ht="15.75" customHeight="1" s="156">
      <c r="A30" t="inlineStr">
        <is>
          <t>Session</t>
        </is>
      </c>
      <c r="B30">
        <f>IF(Dashboard!$D$6="All Months",SUMIF(Data!$B$2:$B$1000,"Session",Data!$I$2:$I$1000),SUMPRODUCT((Data!$A$2:$A$1000=Dashboard!$D$6)*(Data!$B$2:$B$1000="Session")*Data!$I$2:$I$1000))</f>
        <v/>
      </c>
    </row>
    <row r="31" ht="15.75" customHeight="1" s="156">
      <c r="A31" t="inlineStr">
        <is>
          <t>Ticket Tool Video</t>
        </is>
      </c>
      <c r="B31">
        <f>IF(Dashboard!$D$6="All Months",SUMIF(Data!$B$2:$B$1000,"Ticket Tool Video",Data!$I$2:$I$1000),SUMPRODUCT((Data!$A$2:$A$1000=Dashboard!$D$6)*(Data!$B$2:$B$1000="Ticket Tool Video")*Data!$I$2:$I$1000))</f>
        <v/>
      </c>
    </row>
    <row r="32" ht="15.75" customHeight="1" s="156">
      <c r="A32" t="inlineStr">
        <is>
          <t>Varsity Scripts Writing</t>
        </is>
      </c>
      <c r="B32">
        <f>IF(Dashboard!$D$6="All Months",SUMIF(Data!$B$2:$B$1000,"Varsity Scripts Writing",Data!$I$2:$I$1000),SUMPRODUCT((Data!$A$2:$A$1000=Dashboard!$D$6)*(Data!$B$2:$B$1000="Varsity Scripts Writing")*Data!$I$2:$I$1000))</f>
        <v/>
      </c>
    </row>
    <row r="33" ht="15.75" customHeight="1" s="156">
      <c r="A33" t="inlineStr">
        <is>
          <t>Varsity Video Shoot</t>
        </is>
      </c>
      <c r="B33">
        <f>IF(Dashboard!$D$6="All Months",SUMIF(Data!$B$2:$B$1000,"Varsity Video Shoot",Data!$I$2:$I$1000),SUMPRODUCT((Data!$A$2:$A$1000=Dashboard!$D$6)*(Data!$B$2:$B$1000="Varsity Video Shoot")*Data!$I$2:$I$1000))</f>
        <v/>
      </c>
    </row>
    <row r="34" ht="15.75" customHeight="1" s="156">
      <c r="A34" t="inlineStr">
        <is>
          <t>Accop Training</t>
        </is>
      </c>
      <c r="B34">
        <f>IF(Dashboard!$D$6="All Months",SUMIF(Data!$B$2:$B$1000,"Accop Training",Data!$I$2:$I$1000),SUMPRODUCT((Data!$A$2:$A$1000=Dashboard!$D$6)*(Data!$B$2:$B$1000="Accop Training")*Data!$I$2:$I$1000))</f>
        <v/>
      </c>
    </row>
    <row r="35" ht="15.75" customHeight="1" s="156">
      <c r="A35" t="inlineStr">
        <is>
          <t>NRI Team Training</t>
        </is>
      </c>
      <c r="B35">
        <f>IF(Dashboard!$D$6="All Months",SUMIF(Data!$B$2:$B$1000,"NRI Team Training",Data!$I$2:$I$1000),SUMPRODUCT((Data!$A$2:$A$1000=Dashboard!$D$6)*(Data!$B$2:$B$1000="NRI Team Training")*Data!$I$2:$I$1000))</f>
        <v/>
      </c>
    </row>
    <row r="36" ht="15.75" customHeight="1" s="156">
      <c r="A36" t="inlineStr">
        <is>
          <t>Content Team Session</t>
        </is>
      </c>
      <c r="B36">
        <f>IF(Dashboard!$D$6="All Months",SUMIF(Data!$B$2:$B$1000,"Content Team Session",Data!$I$2:$I$1000),SUMPRODUCT((Data!$A$2:$A$1000=Dashboard!$D$6)*(Data!$B$2:$B$1000="Content Team Session")*Data!$I$2:$I$1000))</f>
        <v/>
      </c>
    </row>
    <row r="37" ht="15.75" customHeight="1" s="156">
      <c r="A37" t="inlineStr">
        <is>
          <t>Varsity Team Session</t>
        </is>
      </c>
      <c r="B37">
        <f>IF(Dashboard!$D$6="All Months",SUMIF(Data!$B$2:$B$1000,"Varsity Team Session",Data!$I$2:$I$1000),SUMPRODUCT((Data!$A$2:$A$1000=Dashboard!$D$6)*(Data!$B$2:$B$1000="Varsity Team Session")*Data!$I$2:$I$1000))</f>
        <v/>
      </c>
    </row>
    <row r="38" ht="15.75" customHeight="1" s="156">
      <c r="A38" t="inlineStr">
        <is>
          <t>Assessments</t>
        </is>
      </c>
      <c r="B38">
        <f>IF(Dashboard!$D$6="All Months",SUMIF(Data!$B$2:$B$1000,"Assessments",Data!$I$2:$I$1000),SUMPRODUCT((Data!$A$2:$A$1000=Dashboard!$D$6)*(Data!$B$2:$B$1000="Assessments")*Data!$I$2:$I$1000))</f>
        <v/>
      </c>
    </row>
    <row r="39" ht="15.75" customHeight="1" s="156">
      <c r="A39" t="inlineStr">
        <is>
          <t>Training Need Analysis</t>
        </is>
      </c>
      <c r="B39">
        <f>IF(Dashboard!$D$6="All Months",SUMIF(Data!$B$2:$B$1000,"Training Need Analysis",Data!$I$2:$I$1000),SUMPRODUCT((Data!$A$2:$A$1000=Dashboard!$D$6)*(Data!$B$2:$B$1000="Training Need Analysis")*Data!$I$2:$I$1000))</f>
        <v/>
      </c>
    </row>
    <row r="40" ht="15.75" customHeight="1" s="156">
      <c r="A40" t="inlineStr">
        <is>
          <t>Fresh Hires Training</t>
        </is>
      </c>
      <c r="B40">
        <f>IF(Dashboard!$D$6="All Months",SUMIF(Data!$B$2:$B$1000,"Fresh Hires Training",Data!$I$2:$I$1000),SUMPRODUCT((Data!$A$2:$A$1000=Dashboard!$D$6)*(Data!$B$2:$B$1000="Fresh Hires Training")*Data!$I$2:$I$1000))</f>
        <v/>
      </c>
    </row>
    <row r="41" ht="15.75" customHeight="1" s="156">
      <c r="A41" t="inlineStr">
        <is>
          <t>Self Assessment Form</t>
        </is>
      </c>
      <c r="B41">
        <f>IF(Dashboard!$D$6="All Months",SUMIF(Data!$B$2:$B$1000,"Self Assessment Form",Data!$I$2:$I$1000),SUMPRODUCT((Data!$A$2:$A$1000=Dashboard!$D$6)*(Data!$B$2:$B$1000="Self Assessment Form")*Data!$I$2:$I$1000))</f>
        <v/>
      </c>
    </row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Team Refresher</t>
        </is>
      </c>
      <c r="C7" s="200" t="inlineStr">
        <is>
          <t>ACOP (Online Team)</t>
        </is>
      </c>
      <c r="D7" s="200" t="inlineStr">
        <is>
          <t>10-Dec</t>
        </is>
      </c>
      <c r="E7" s="200" t="inlineStr">
        <is>
          <t>23-Dec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Kite mobile/web &amp; order types</t>
        </is>
      </c>
      <c r="I7" s="201" t="n">
        <v>16</v>
      </c>
    </row>
    <row r="8" ht="21.75" customHeight="1" s="156">
      <c r="A8" s="199" t="n">
        <v>2</v>
      </c>
      <c r="B8" s="200" t="inlineStr">
        <is>
          <t>ACOP Team Refresher</t>
        </is>
      </c>
      <c r="C8" s="200" t="inlineStr">
        <is>
          <t>ACOP (Online Team)</t>
        </is>
      </c>
      <c r="D8" s="200" t="inlineStr">
        <is>
          <t>10-Dec</t>
        </is>
      </c>
      <c r="E8" s="200" t="inlineStr">
        <is>
          <t>19-Dec</t>
        </is>
      </c>
      <c r="F8" s="200" t="inlineStr">
        <is>
          <t>Gaurav Kumar</t>
        </is>
      </c>
      <c r="G8" s="200" t="inlineStr">
        <is>
          <t>Online</t>
        </is>
      </c>
      <c r="H8" s="200" t="inlineStr">
        <is>
          <t>Kite mobile/web &amp; order types</t>
        </is>
      </c>
      <c r="I8" s="201" t="n">
        <v>16</v>
      </c>
    </row>
    <row r="9" ht="21.75" customHeight="1" s="156">
      <c r="A9" s="202" t="n">
        <v>3</v>
      </c>
      <c r="B9" s="203" t="inlineStr">
        <is>
          <t>Project Maven</t>
        </is>
      </c>
      <c r="C9" s="203" t="inlineStr">
        <is>
          <t>MCP (Project Maven)</t>
        </is>
      </c>
      <c r="D9" s="203" t="inlineStr">
        <is>
          <t>8-Dec</t>
        </is>
      </c>
      <c r="E9" s="203" t="inlineStr">
        <is>
          <t>On going</t>
        </is>
      </c>
      <c r="F9" s="203" t="inlineStr">
        <is>
          <t>Raju Vernekar</t>
        </is>
      </c>
      <c r="G9" s="203" t="inlineStr">
        <is>
          <t>Offline</t>
        </is>
      </c>
      <c r="H9" s="203" t="inlineStr">
        <is>
          <t>Project Maven for Support (MCP)</t>
        </is>
      </c>
      <c r="I9" s="204" t="n">
        <v>52</v>
      </c>
    </row>
    <row r="10" ht="21.75" customHeight="1" s="156">
      <c r="A10" s="202" t="n">
        <v>4</v>
      </c>
      <c r="B10" s="203" t="inlineStr">
        <is>
          <t>Project Maven</t>
        </is>
      </c>
      <c r="C10" s="203" t="inlineStr">
        <is>
          <t>MCP (Project Maven)</t>
        </is>
      </c>
      <c r="D10" s="203" t="inlineStr">
        <is>
          <t>8-Dec</t>
        </is>
      </c>
      <c r="E10" s="203" t="inlineStr">
        <is>
          <t>On going</t>
        </is>
      </c>
      <c r="F10" s="203" t="inlineStr">
        <is>
          <t>Gaurav Kumar</t>
        </is>
      </c>
      <c r="G10" s="203" t="inlineStr">
        <is>
          <t>Offline</t>
        </is>
      </c>
      <c r="H10" s="203" t="inlineStr">
        <is>
          <t>Project Maven for Support (MCP)</t>
        </is>
      </c>
      <c r="I10" s="204" t="n">
        <v>45</v>
      </c>
    </row>
    <row r="11" ht="21.75" customHeight="1" s="156">
      <c r="A11" s="199" t="n">
        <v>5</v>
      </c>
      <c r="B11" s="200" t="inlineStr">
        <is>
          <t>Webinar</t>
        </is>
      </c>
      <c r="C11" s="200" t="inlineStr">
        <is>
          <t>Support Team</t>
        </is>
      </c>
      <c r="D11" s="200" t="inlineStr">
        <is>
          <t>19-Dec</t>
        </is>
      </c>
      <c r="E11" s="200" t="inlineStr">
        <is>
          <t>19-Dec</t>
        </is>
      </c>
      <c r="F11" s="200" t="inlineStr">
        <is>
          <t>Gaurav Kumar / Raju Vernekar</t>
        </is>
      </c>
      <c r="G11" s="200" t="inlineStr">
        <is>
          <t>Online</t>
        </is>
      </c>
      <c r="H11" s="200" t="inlineStr">
        <is>
          <t>Delta Violation</t>
        </is>
      </c>
      <c r="I11" s="201" t="n">
        <v>3</v>
      </c>
    </row>
    <row r="12" ht="21.75" customHeight="1" s="156">
      <c r="A12" s="199" t="n">
        <v>6</v>
      </c>
      <c r="B12" s="200" t="inlineStr">
        <is>
          <t>Session</t>
        </is>
      </c>
      <c r="C12" s="200" t="inlineStr">
        <is>
          <t>Support Manager &amp; AVPs</t>
        </is>
      </c>
      <c r="D12" s="200" t="inlineStr">
        <is>
          <t>11-Dec</t>
        </is>
      </c>
      <c r="E12" s="200" t="inlineStr">
        <is>
          <t>11-Dec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Delta Violation</t>
        </is>
      </c>
      <c r="I12" s="201" t="n">
        <v>3</v>
      </c>
    </row>
    <row r="13" ht="27.75" customHeight="1" s="156">
      <c r="A13" s="205" t="inlineStr">
        <is>
          <t>TOTAL MAN HOURS THIS MONTH</t>
        </is>
      </c>
      <c r="B13" s="205" t="n"/>
      <c r="C13" s="205" t="n"/>
      <c r="D13" s="205" t="n"/>
      <c r="E13" s="205" t="n"/>
      <c r="F13" s="205" t="n"/>
      <c r="G13" s="205" t="n"/>
      <c r="H13" s="205" t="n"/>
      <c r="I13" s="206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7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Refresher</t>
        </is>
      </c>
      <c r="C7" s="200" t="inlineStr">
        <is>
          <t>Sherin's Team</t>
        </is>
      </c>
      <c r="D7" s="200" t="inlineStr">
        <is>
          <t>13-Jan</t>
        </is>
      </c>
      <c r="E7" s="200" t="inlineStr">
        <is>
          <t>13-Jan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Basics of support</t>
        </is>
      </c>
      <c r="I7" s="201" t="n">
        <v>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MCP (Project Maven)</t>
        </is>
      </c>
      <c r="D8" s="203" t="inlineStr">
        <is>
          <t>1-Jan</t>
        </is>
      </c>
      <c r="E8" s="203" t="inlineStr">
        <is>
          <t>On going</t>
        </is>
      </c>
      <c r="F8" s="203" t="inlineStr">
        <is>
          <t>Raju Vernekar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156</v>
      </c>
    </row>
    <row r="9" ht="21.75" customHeight="1" s="156">
      <c r="A9" s="199" t="n">
        <v>3</v>
      </c>
      <c r="B9" s="200" t="inlineStr">
        <is>
          <t>Assessments</t>
        </is>
      </c>
      <c r="C9" s="200" t="inlineStr">
        <is>
          <t>Communication Assessment Tool</t>
        </is>
      </c>
      <c r="D9" s="200" t="inlineStr">
        <is>
          <t>22-Jan</t>
        </is>
      </c>
      <c r="E9" s="200" t="inlineStr">
        <is>
          <t>22-Jan</t>
        </is>
      </c>
      <c r="F9" s="200" t="inlineStr">
        <is>
          <t>Raju Vernekar</t>
        </is>
      </c>
      <c r="G9" s="200" t="inlineStr">
        <is>
          <t>Online</t>
        </is>
      </c>
      <c r="H9" s="200" t="inlineStr">
        <is>
          <t>Communication Assessment</t>
        </is>
      </c>
      <c r="I9" s="201" t="n">
        <v>1</v>
      </c>
    </row>
    <row r="10" ht="21.75" customHeight="1" s="156">
      <c r="A10" s="199" t="n">
        <v>4</v>
      </c>
      <c r="B10" s="200" t="inlineStr">
        <is>
          <t>Refresher</t>
        </is>
      </c>
      <c r="C10" s="200" t="inlineStr">
        <is>
          <t>Sherin's Team</t>
        </is>
      </c>
      <c r="D10" s="200" t="inlineStr">
        <is>
          <t>12-Jan</t>
        </is>
      </c>
      <c r="E10" s="200" t="inlineStr">
        <is>
          <t>20-Jan</t>
        </is>
      </c>
      <c r="F10" s="200" t="inlineStr">
        <is>
          <t>Gaurav Kumar</t>
        </is>
      </c>
      <c r="G10" s="200" t="inlineStr">
        <is>
          <t>Online</t>
        </is>
      </c>
      <c r="H10" s="200" t="inlineStr">
        <is>
          <t>MTF, Hedge, Basket, Corp actions, MF</t>
        </is>
      </c>
      <c r="I10" s="201" t="n">
        <v>15</v>
      </c>
    </row>
    <row r="11" ht="21.75" customHeight="1" s="156">
      <c r="A11" s="202" t="n">
        <v>5</v>
      </c>
      <c r="B11" s="203" t="inlineStr">
        <is>
          <t>Project Maven</t>
        </is>
      </c>
      <c r="C11" s="203" t="inlineStr">
        <is>
          <t>MCP (Project Maven)</t>
        </is>
      </c>
      <c r="D11" s="203" t="inlineStr">
        <is>
          <t>1-Jan</t>
        </is>
      </c>
      <c r="E11" s="203" t="inlineStr">
        <is>
          <t>On going</t>
        </is>
      </c>
      <c r="F11" s="203" t="inlineStr">
        <is>
          <t>Gaurav Kumar</t>
        </is>
      </c>
      <c r="G11" s="203" t="inlineStr">
        <is>
          <t>Offline</t>
        </is>
      </c>
      <c r="H11" s="203" t="inlineStr">
        <is>
          <t>Project Maven</t>
        </is>
      </c>
      <c r="I11" s="204" t="n">
        <v>140</v>
      </c>
    </row>
    <row r="12" ht="21.75" customHeight="1" s="156">
      <c r="A12" s="199" t="n">
        <v>6</v>
      </c>
      <c r="B12" s="200" t="inlineStr">
        <is>
          <t>Refresher for Entire Support</t>
        </is>
      </c>
      <c r="C12" s="200" t="inlineStr">
        <is>
          <t>Support Team</t>
        </is>
      </c>
      <c r="D12" s="200" t="inlineStr">
        <is>
          <t>28-Jan</t>
        </is>
      </c>
      <c r="E12" s="200" t="inlineStr">
        <is>
          <t>On going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Tijori Integration with Kite &amp; Console</t>
        </is>
      </c>
      <c r="I12" s="201" t="n">
        <v>65</v>
      </c>
    </row>
    <row r="13" ht="21.75" customHeight="1" s="156">
      <c r="A13" s="199" t="n">
        <v>7</v>
      </c>
      <c r="B13" s="200" t="inlineStr">
        <is>
          <t>Refresher for Evening Support</t>
        </is>
      </c>
      <c r="C13" s="200" t="inlineStr">
        <is>
          <t>MCX Team</t>
        </is>
      </c>
      <c r="D13" s="200" t="inlineStr">
        <is>
          <t>29-Jan</t>
        </is>
      </c>
      <c r="E13" s="200" t="inlineStr">
        <is>
          <t>On going</t>
        </is>
      </c>
      <c r="F13" s="200" t="inlineStr">
        <is>
          <t>Gaurav Kumar</t>
        </is>
      </c>
      <c r="G13" s="200" t="inlineStr">
        <is>
          <t>Online</t>
        </is>
      </c>
      <c r="H13" s="200" t="inlineStr">
        <is>
          <t>Tijori and MCX Devolvement</t>
        </is>
      </c>
      <c r="I13" s="201" t="n">
        <v>11</v>
      </c>
    </row>
    <row r="14" ht="21.75" customHeight="1" s="156">
      <c r="A14" s="199" t="n">
        <v>8</v>
      </c>
      <c r="B14" s="200" t="inlineStr">
        <is>
          <t>Content Team Session</t>
        </is>
      </c>
      <c r="C14" s="200" t="inlineStr">
        <is>
          <t>Stock tips</t>
        </is>
      </c>
      <c r="D14" s="200" t="inlineStr">
        <is>
          <t>28-Jan</t>
        </is>
      </c>
      <c r="E14" s="200" t="inlineStr">
        <is>
          <t>28-Jan</t>
        </is>
      </c>
      <c r="F14" s="200" t="inlineStr">
        <is>
          <t>Gaurav Kumar</t>
        </is>
      </c>
      <c r="G14" s="200" t="inlineStr">
        <is>
          <t>Online</t>
        </is>
      </c>
      <c r="H14" s="200" t="inlineStr">
        <is>
          <t>Session for Stock tips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Support Team OJT</t>
        </is>
      </c>
      <c r="C15" s="200" t="inlineStr">
        <is>
          <t>OJT for SM (Support)</t>
        </is>
      </c>
      <c r="D15" s="200" t="inlineStr">
        <is>
          <t>27-Dec</t>
        </is>
      </c>
      <c r="E15" s="200" t="inlineStr">
        <is>
          <t>31-Jan</t>
        </is>
      </c>
      <c r="F15" s="200" t="inlineStr">
        <is>
          <t>Gaurav Kumar / Raju Vernekar</t>
        </is>
      </c>
      <c r="G15" s="200" t="inlineStr">
        <is>
          <t>Online</t>
        </is>
      </c>
      <c r="H15" s="200" t="inlineStr">
        <is>
          <t>Support On Job Training</t>
        </is>
      </c>
      <c r="I15" s="201" t="n">
        <v>50</v>
      </c>
    </row>
    <row r="16" ht="21.75" customHeight="1" s="156">
      <c r="A16" s="199" t="n">
        <v>10</v>
      </c>
      <c r="B16" s="200" t="inlineStr">
        <is>
          <t>Assessment</t>
        </is>
      </c>
      <c r="C16" s="200" t="inlineStr">
        <is>
          <t>Sherin's Team</t>
        </is>
      </c>
      <c r="D16" s="200" t="inlineStr">
        <is>
          <t>23-Jan</t>
        </is>
      </c>
      <c r="E16" s="200" t="inlineStr">
        <is>
          <t>23-Jan</t>
        </is>
      </c>
      <c r="F16" s="200" t="inlineStr">
        <is>
          <t>Gaurav Kumar</t>
        </is>
      </c>
      <c r="G16" s="200" t="inlineStr">
        <is>
          <t>Online</t>
        </is>
      </c>
      <c r="H16" s="200" t="inlineStr">
        <is>
          <t>MTF, Hedge, Basket, Corp actions, MF</t>
        </is>
      </c>
      <c r="I16" s="201" t="n">
        <v>1.5</v>
      </c>
    </row>
    <row r="17" ht="27.75" customHeight="1" s="156">
      <c r="A17" s="205" t="inlineStr">
        <is>
          <t>TOTAL MAN HOURS THIS MONTH</t>
        </is>
      </c>
      <c r="B17" s="205" t="n"/>
      <c r="C17" s="205" t="n"/>
      <c r="D17" s="205" t="n"/>
      <c r="E17" s="205" t="n"/>
      <c r="F17" s="205" t="n"/>
      <c r="G17" s="205" t="n"/>
      <c r="H17" s="205" t="n"/>
      <c r="I17" s="206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0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Project Maven</t>
        </is>
      </c>
      <c r="C7" s="203" t="inlineStr">
        <is>
          <t>Project Maven</t>
        </is>
      </c>
      <c r="D7" s="203" t="inlineStr">
        <is>
          <t>1-Feb</t>
        </is>
      </c>
      <c r="E7" s="203" t="inlineStr">
        <is>
          <t>On going</t>
        </is>
      </c>
      <c r="F7" s="203" t="inlineStr">
        <is>
          <t>Raju Vernekar</t>
        </is>
      </c>
      <c r="G7" s="203" t="inlineStr">
        <is>
          <t>Offline</t>
        </is>
      </c>
      <c r="H7" s="203" t="inlineStr">
        <is>
          <t>Project Maven</t>
        </is>
      </c>
      <c r="I7" s="204" t="n">
        <v>104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Project Maven</t>
        </is>
      </c>
      <c r="D8" s="203" t="inlineStr">
        <is>
          <t>1-Feb</t>
        </is>
      </c>
      <c r="E8" s="203" t="inlineStr">
        <is>
          <t>On going</t>
        </is>
      </c>
      <c r="F8" s="203" t="inlineStr">
        <is>
          <t>Gaurav Kumar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102</v>
      </c>
    </row>
    <row r="9" ht="21.75" customHeight="1" s="156">
      <c r="A9" s="199" t="n">
        <v>3</v>
      </c>
      <c r="B9" s="200" t="inlineStr">
        <is>
          <t>Refresher for Entire Support</t>
        </is>
      </c>
      <c r="C9" s="200" t="inlineStr">
        <is>
          <t>Customer Support</t>
        </is>
      </c>
      <c r="D9" s="200" t="inlineStr">
        <is>
          <t>27-Jan</t>
        </is>
      </c>
      <c r="E9" s="200" t="inlineStr">
        <is>
          <t>On going</t>
        </is>
      </c>
      <c r="F9" s="200" t="inlineStr">
        <is>
          <t>Gaurav Kumar</t>
        </is>
      </c>
      <c r="G9" s="200" t="inlineStr">
        <is>
          <t>Online</t>
        </is>
      </c>
      <c r="H9" s="200" t="inlineStr">
        <is>
          <t>Tijori, MCX Devolvement, SLB</t>
        </is>
      </c>
      <c r="I9" s="201" t="n">
        <v>36</v>
      </c>
    </row>
    <row r="10" ht="21.75" customHeight="1" s="156">
      <c r="A10" s="199" t="n">
        <v>4</v>
      </c>
      <c r="B10" s="200" t="inlineStr">
        <is>
          <t>Refresher for Support</t>
        </is>
      </c>
      <c r="C10" s="200" t="inlineStr">
        <is>
          <t>Customer Support</t>
        </is>
      </c>
      <c r="D10" s="200" t="inlineStr">
        <is>
          <t>11-Feb</t>
        </is>
      </c>
      <c r="E10" s="200" t="inlineStr">
        <is>
          <t>Completed</t>
        </is>
      </c>
      <c r="F10" s="200" t="inlineStr">
        <is>
          <t>Raju Vernekar</t>
        </is>
      </c>
      <c r="G10" s="200" t="inlineStr">
        <is>
          <t>Online</t>
        </is>
      </c>
      <c r="H10" s="200" t="inlineStr">
        <is>
          <t>MCX Devolvement</t>
        </is>
      </c>
      <c r="I10" s="201" t="n">
        <v>8</v>
      </c>
    </row>
    <row r="11" ht="27.75" customHeight="1" s="156">
      <c r="A11" s="205" t="inlineStr">
        <is>
          <t>TOTAL MAN HOURS THIS MONTH</t>
        </is>
      </c>
      <c r="B11" s="205" t="n"/>
      <c r="C11" s="205" t="n"/>
      <c r="D11" s="205" t="n"/>
      <c r="E11" s="205" t="n"/>
      <c r="F11" s="205" t="n"/>
      <c r="G11" s="205" t="n"/>
      <c r="H11" s="205" t="n"/>
      <c r="I11" s="206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1:H11"/>
    <mergeCell ref="A3:I3"/>
    <mergeCell ref="A4:I4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3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Assessment</t>
        </is>
      </c>
      <c r="C7" s="203" t="inlineStr">
        <is>
          <t>Assessment - Communicate 360</t>
        </is>
      </c>
      <c r="D7" s="203" t="inlineStr">
        <is>
          <t>1-Mar</t>
        </is>
      </c>
      <c r="E7" s="203" t="inlineStr">
        <is>
          <t>On going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6</v>
      </c>
    </row>
    <row r="8" ht="21.75" customHeight="1" s="156">
      <c r="A8" s="202" t="n">
        <v>2</v>
      </c>
      <c r="B8" s="203" t="inlineStr">
        <is>
          <t>Assessment</t>
        </is>
      </c>
      <c r="C8" s="203" t="inlineStr">
        <is>
          <t>Assessment tool - LMS</t>
        </is>
      </c>
      <c r="D8" s="203" t="inlineStr">
        <is>
          <t>1-Mar</t>
        </is>
      </c>
      <c r="E8" s="203" t="inlineStr">
        <is>
          <t>12-Mar</t>
        </is>
      </c>
      <c r="F8" s="203" t="inlineStr">
        <is>
          <t>Raju Vernekar / Girish A / Harish Bhat</t>
        </is>
      </c>
      <c r="G8" s="203" t="inlineStr">
        <is>
          <t>Offline</t>
        </is>
      </c>
      <c r="H8" s="203" t="inlineStr">
        <is>
          <t>Assessment tool - LMS</t>
        </is>
      </c>
      <c r="I8" s="204" t="n">
        <v>2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Tool building - C360</t>
        </is>
      </c>
      <c r="D9" s="203" t="inlineStr">
        <is>
          <t>12-Mar</t>
        </is>
      </c>
      <c r="E9" s="203" t="inlineStr">
        <is>
          <t>12-Mar</t>
        </is>
      </c>
      <c r="F9" s="203" t="inlineStr">
        <is>
          <t>Raju Vernekar / Girish A / Harish Bhat</t>
        </is>
      </c>
      <c r="G9" s="203" t="inlineStr">
        <is>
          <t>Offline</t>
        </is>
      </c>
      <c r="H9" s="203" t="inlineStr">
        <is>
          <t>Tool building - C360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1 - C360 Training</t>
        </is>
      </c>
      <c r="D10" s="203" t="inlineStr">
        <is>
          <t>12-Mar</t>
        </is>
      </c>
      <c r="E10" s="203" t="inlineStr">
        <is>
          <t>On going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Batch 1 - C360 Training</t>
        </is>
      </c>
      <c r="I10" s="204" t="n">
        <v>8</v>
      </c>
    </row>
    <row r="11" ht="21.75" customHeight="1" s="156">
      <c r="A11" s="202" t="n">
        <v>5</v>
      </c>
      <c r="B11" s="203" t="inlineStr">
        <is>
          <t>Assessment</t>
        </is>
      </c>
      <c r="C11" s="203" t="inlineStr">
        <is>
          <t>Correction of Assessment - C360</t>
        </is>
      </c>
      <c r="D11" s="203" t="inlineStr">
        <is>
          <t>12-Mar</t>
        </is>
      </c>
      <c r="E11" s="203" t="inlineStr">
        <is>
          <t>On going</t>
        </is>
      </c>
      <c r="F11" s="203" t="inlineStr">
        <is>
          <t>Freeda Reshma Dsouza</t>
        </is>
      </c>
      <c r="G11" s="203" t="inlineStr">
        <is>
          <t>Offline</t>
        </is>
      </c>
      <c r="H11" s="203" t="inlineStr">
        <is>
          <t>Correction of Assessment - C360</t>
        </is>
      </c>
      <c r="I11" s="204" t="n">
        <v>5</v>
      </c>
    </row>
    <row r="12" ht="21.75" customHeight="1" s="156">
      <c r="A12" s="202" t="n">
        <v>6</v>
      </c>
      <c r="B12" s="203" t="inlineStr">
        <is>
          <t>Support Training</t>
        </is>
      </c>
      <c r="C12" s="203" t="inlineStr">
        <is>
          <t>Report Generation - C360</t>
        </is>
      </c>
      <c r="D12" s="203" t="inlineStr">
        <is>
          <t>12-Mar</t>
        </is>
      </c>
      <c r="E12" s="203" t="inlineStr">
        <is>
          <t>12-Mar</t>
        </is>
      </c>
      <c r="F12" s="203" t="inlineStr">
        <is>
          <t>Raju Vernekar / Girish A / Harish Bhat</t>
        </is>
      </c>
      <c r="G12" s="203" t="inlineStr">
        <is>
          <t>Offline</t>
        </is>
      </c>
      <c r="H12" s="203" t="inlineStr">
        <is>
          <t>Report Generation - C360</t>
        </is>
      </c>
      <c r="I12" s="204" t="n">
        <v>10</v>
      </c>
    </row>
    <row r="13" ht="21.75" customHeight="1" s="156">
      <c r="A13" s="202" t="n">
        <v>7</v>
      </c>
      <c r="B13" s="203" t="inlineStr">
        <is>
          <t>Project Maven</t>
        </is>
      </c>
      <c r="C13" s="203" t="inlineStr">
        <is>
          <t>Project Maven</t>
        </is>
      </c>
      <c r="D13" s="203" t="inlineStr">
        <is>
          <t>1-Mar</t>
        </is>
      </c>
      <c r="E13" s="203" t="inlineStr">
        <is>
          <t>On going</t>
        </is>
      </c>
      <c r="F13" s="203" t="inlineStr">
        <is>
          <t>Raju Vernekar</t>
        </is>
      </c>
      <c r="G13" s="203" t="inlineStr">
        <is>
          <t>Offline</t>
        </is>
      </c>
      <c r="H13" s="203" t="inlineStr">
        <is>
          <t>Project Maven</t>
        </is>
      </c>
      <c r="I13" s="204" t="n">
        <v>104</v>
      </c>
    </row>
    <row r="14" ht="21.75" customHeight="1" s="156">
      <c r="A14" s="202" t="n">
        <v>8</v>
      </c>
      <c r="B14" s="203" t="inlineStr">
        <is>
          <t>Project Maven</t>
        </is>
      </c>
      <c r="C14" s="203" t="inlineStr">
        <is>
          <t>Project Maven</t>
        </is>
      </c>
      <c r="D14" s="203" t="inlineStr">
        <is>
          <t>1-Mar</t>
        </is>
      </c>
      <c r="E14" s="203" t="inlineStr">
        <is>
          <t>On going</t>
        </is>
      </c>
      <c r="F14" s="203" t="inlineStr">
        <is>
          <t>Gaurav Kumar</t>
        </is>
      </c>
      <c r="G14" s="203" t="inlineStr">
        <is>
          <t>Offline</t>
        </is>
      </c>
      <c r="H14" s="203" t="inlineStr">
        <is>
          <t>Project Maven</t>
        </is>
      </c>
      <c r="I14" s="204" t="n">
        <v>102</v>
      </c>
    </row>
    <row r="15" ht="21.75" customHeight="1" s="156">
      <c r="A15" s="199" t="n">
        <v>9</v>
      </c>
      <c r="B15" s="200" t="inlineStr">
        <is>
          <t>Varsity Team Session</t>
        </is>
      </c>
      <c r="C15" s="200" t="inlineStr">
        <is>
          <t>Stock tips</t>
        </is>
      </c>
      <c r="D15" s="200" t="inlineStr">
        <is>
          <t>27-Mar</t>
        </is>
      </c>
      <c r="E15" s="200" t="inlineStr">
        <is>
          <t>27-Mar</t>
        </is>
      </c>
      <c r="F15" s="200" t="inlineStr">
        <is>
          <t>Gaurav Kumar</t>
        </is>
      </c>
      <c r="G15" s="200" t="inlineStr">
        <is>
          <t>Online</t>
        </is>
      </c>
      <c r="H15" s="200" t="inlineStr">
        <is>
          <t>New hire training</t>
        </is>
      </c>
      <c r="I15" s="201" t="n">
        <v>1.5</v>
      </c>
    </row>
    <row r="16" ht="27.75" customHeight="1" s="156">
      <c r="A16" s="205" t="inlineStr">
        <is>
          <t>TOTAL MAN HOURS THIS MONTH</t>
        </is>
      </c>
      <c r="B16" s="205" t="n"/>
      <c r="C16" s="205" t="n"/>
      <c r="D16" s="205" t="n"/>
      <c r="E16" s="205" t="n"/>
      <c r="F16" s="205" t="n"/>
      <c r="G16" s="205" t="n"/>
      <c r="H16" s="205" t="n"/>
      <c r="I16" s="206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6:H16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Batch 2 - C360 Training</t>
        </is>
      </c>
      <c r="D7" s="203" t="inlineStr">
        <is>
          <t>7-Apr</t>
        </is>
      </c>
      <c r="E7" s="203" t="inlineStr">
        <is>
          <t>10-Apr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20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Batch 3 - C360 Training</t>
        </is>
      </c>
      <c r="D8" s="203" t="inlineStr">
        <is>
          <t>21-Apr</t>
        </is>
      </c>
      <c r="E8" s="203" t="inlineStr">
        <is>
          <t>24-Apr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Assessment - Communicate 360</t>
        </is>
      </c>
      <c r="I8" s="204" t="n">
        <v>20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Batch 2 - C360 (Girish)</t>
        </is>
      </c>
      <c r="D9" s="203" t="inlineStr">
        <is>
          <t>21-Apr</t>
        </is>
      </c>
      <c r="E9" s="203" t="inlineStr">
        <is>
          <t>24-Apr</t>
        </is>
      </c>
      <c r="F9" s="203" t="inlineStr">
        <is>
          <t>Girish A</t>
        </is>
      </c>
      <c r="G9" s="203" t="inlineStr">
        <is>
          <t>Offline</t>
        </is>
      </c>
      <c r="H9" s="203" t="inlineStr">
        <is>
          <t>Assessment - Communicate 360</t>
        </is>
      </c>
      <c r="I9" s="204" t="n">
        <v>9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- C360 (Harish)</t>
        </is>
      </c>
      <c r="D10" s="203" t="inlineStr">
        <is>
          <t>21-Apr</t>
        </is>
      </c>
      <c r="E10" s="203" t="inlineStr">
        <is>
          <t>24-Apr</t>
        </is>
      </c>
      <c r="F10" s="203" t="inlineStr">
        <is>
          <t>Harish Bhat</t>
        </is>
      </c>
      <c r="G10" s="203" t="inlineStr">
        <is>
          <t>Offline</t>
        </is>
      </c>
      <c r="H10" s="203" t="inlineStr">
        <is>
          <t>Assessment - Communicate 360</t>
        </is>
      </c>
      <c r="I10" s="204" t="n">
        <v>9</v>
      </c>
    </row>
    <row r="11" ht="21.75" customHeight="1" s="156">
      <c r="A11" s="202" t="n">
        <v>5</v>
      </c>
      <c r="B11" s="203" t="inlineStr">
        <is>
          <t>Support Training</t>
        </is>
      </c>
      <c r="C11" s="203" t="inlineStr">
        <is>
          <t>Tool Building - C360 Modifications</t>
        </is>
      </c>
      <c r="D11" s="203" t="inlineStr">
        <is>
          <t>13-Apr</t>
        </is>
      </c>
      <c r="E11" s="203" t="inlineStr">
        <is>
          <t>30-Apr</t>
        </is>
      </c>
      <c r="F11" s="203" t="inlineStr">
        <is>
          <t>Raju Vernekar / Girish A / Harish Bhat</t>
        </is>
      </c>
      <c r="G11" s="203" t="inlineStr">
        <is>
          <t>Offline</t>
        </is>
      </c>
      <c r="H11" s="203" t="inlineStr">
        <is>
          <t>Tool Building - C360 Modifications</t>
        </is>
      </c>
      <c r="I11" s="204" t="n">
        <v>15</v>
      </c>
    </row>
    <row r="12" ht="21.75" customHeight="1" s="156">
      <c r="A12" s="202" t="n">
        <v>6</v>
      </c>
      <c r="B12" s="203" t="inlineStr">
        <is>
          <t>Assessment</t>
        </is>
      </c>
      <c r="C12" s="203" t="inlineStr">
        <is>
          <t>Batch 1 - Correction C360</t>
        </is>
      </c>
      <c r="D12" s="203" t="inlineStr">
        <is>
          <t>11-Apr</t>
        </is>
      </c>
      <c r="E12" s="203" t="inlineStr">
        <is>
          <t>15-Apr</t>
        </is>
      </c>
      <c r="F12" s="203" t="inlineStr">
        <is>
          <t>Freeda Reshma Dsouza / Girish A / Harish Bhat</t>
        </is>
      </c>
      <c r="G12" s="203" t="inlineStr">
        <is>
          <t>Offline</t>
        </is>
      </c>
      <c r="H12" s="203" t="inlineStr">
        <is>
          <t>Correction of Assessment - C360</t>
        </is>
      </c>
      <c r="I12" s="204" t="n">
        <v>30</v>
      </c>
    </row>
    <row r="13" ht="21.75" customHeight="1" s="156">
      <c r="A13" s="202" t="n">
        <v>7</v>
      </c>
      <c r="B13" s="203" t="inlineStr">
        <is>
          <t>Assessment</t>
        </is>
      </c>
      <c r="C13" s="203" t="inlineStr">
        <is>
          <t>Batch 2 - Correction C360</t>
        </is>
      </c>
      <c r="D13" s="203" t="inlineStr">
        <is>
          <t>27-Apr</t>
        </is>
      </c>
      <c r="E13" s="203" t="inlineStr">
        <is>
          <t>30-Apr</t>
        </is>
      </c>
      <c r="F13" s="203" t="inlineStr">
        <is>
          <t>Girish A / Harish Bhat</t>
        </is>
      </c>
      <c r="G13" s="203" t="inlineStr">
        <is>
          <t>Offline</t>
        </is>
      </c>
      <c r="H13" s="203" t="inlineStr">
        <is>
          <t>Correction of Assessment - C360</t>
        </is>
      </c>
      <c r="I13" s="204" t="n">
        <v>15</v>
      </c>
    </row>
    <row r="14" ht="21.75" customHeight="1" s="156">
      <c r="A14" s="202" t="n">
        <v>8</v>
      </c>
      <c r="B14" s="203" t="inlineStr">
        <is>
          <t>Support Training</t>
        </is>
      </c>
      <c r="C14" s="203" t="inlineStr">
        <is>
          <t>Batch 1&amp;2 Report Generation</t>
        </is>
      </c>
      <c r="D14" s="203" t="inlineStr">
        <is>
          <t>21-Apr</t>
        </is>
      </c>
      <c r="E14" s="203" t="inlineStr">
        <is>
          <t>21-Apr</t>
        </is>
      </c>
      <c r="F14" s="203" t="inlineStr">
        <is>
          <t>Harish Bhat</t>
        </is>
      </c>
      <c r="G14" s="203" t="inlineStr">
        <is>
          <t>Offline</t>
        </is>
      </c>
      <c r="H14" s="203" t="inlineStr">
        <is>
          <t>Report Generation - C360</t>
        </is>
      </c>
      <c r="I14" s="204" t="n">
        <v>8</v>
      </c>
    </row>
    <row r="15" ht="21.75" customHeight="1" s="156">
      <c r="A15" s="199" t="n">
        <v>9</v>
      </c>
      <c r="B15" s="200" t="inlineStr">
        <is>
          <t>Accop Training</t>
        </is>
      </c>
      <c r="C15" s="200" t="inlineStr">
        <is>
          <t>Session on AML &amp; Stock tips</t>
        </is>
      </c>
      <c r="D15" s="200" t="inlineStr">
        <is>
          <t>23-Apr</t>
        </is>
      </c>
      <c r="E15" s="200" t="inlineStr">
        <is>
          <t>23-Apr</t>
        </is>
      </c>
      <c r="F15" s="200" t="inlineStr">
        <is>
          <t>Girish A</t>
        </is>
      </c>
      <c r="G15" s="200" t="inlineStr">
        <is>
          <t>Online</t>
        </is>
      </c>
      <c r="H15" s="200" t="inlineStr">
        <is>
          <t>AML &amp; Stock tips</t>
        </is>
      </c>
      <c r="I15" s="201" t="n">
        <v>1.75</v>
      </c>
    </row>
    <row r="16" ht="21.75" customHeight="1" s="156">
      <c r="A16" s="199" t="n">
        <v>10</v>
      </c>
      <c r="B16" s="200" t="inlineStr">
        <is>
          <t>NRI Team Training</t>
        </is>
      </c>
      <c r="C16" s="200" t="inlineStr">
        <is>
          <t>Session on AML &amp; Stock tips</t>
        </is>
      </c>
      <c r="D16" s="200" t="inlineStr">
        <is>
          <t>27-Apr</t>
        </is>
      </c>
      <c r="E16" s="200" t="inlineStr">
        <is>
          <t>27-Apr</t>
        </is>
      </c>
      <c r="F16" s="200" t="inlineStr">
        <is>
          <t>Harish Bhat</t>
        </is>
      </c>
      <c r="G16" s="200" t="inlineStr">
        <is>
          <t>Online</t>
        </is>
      </c>
      <c r="H16" s="200" t="inlineStr">
        <is>
          <t>AML &amp; Stock tips</t>
        </is>
      </c>
      <c r="I16" s="201" t="n">
        <v>1.75</v>
      </c>
    </row>
    <row r="17" ht="21.75" customHeight="1" s="156">
      <c r="A17" s="199" t="n">
        <v>11</v>
      </c>
      <c r="B17" s="200" t="inlineStr">
        <is>
          <t>Fresh Hires Training</t>
        </is>
      </c>
      <c r="C17" s="200" t="inlineStr">
        <is>
          <t>Session on AML &amp; Stock tips</t>
        </is>
      </c>
      <c r="D17" s="200" t="inlineStr">
        <is>
          <t>29-Apr</t>
        </is>
      </c>
      <c r="E17" s="200" t="inlineStr">
        <is>
          <t>29-Apr</t>
        </is>
      </c>
      <c r="F17" s="200" t="inlineStr">
        <is>
          <t>Girish A</t>
        </is>
      </c>
      <c r="G17" s="200" t="inlineStr">
        <is>
          <t>Online</t>
        </is>
      </c>
      <c r="H17" s="200" t="inlineStr">
        <is>
          <t>AML &amp; Stock tips</t>
        </is>
      </c>
      <c r="I17" s="201" t="n">
        <v>0.75</v>
      </c>
    </row>
    <row r="18" ht="21.75" customHeight="1" s="156">
      <c r="A18" s="199" t="n">
        <v>12</v>
      </c>
      <c r="B18" s="200" t="inlineStr">
        <is>
          <t>Training Need Analysis</t>
        </is>
      </c>
      <c r="C18" s="200" t="inlineStr">
        <is>
          <t>Understanding requirements from CS</t>
        </is>
      </c>
      <c r="D18" s="200" t="inlineStr">
        <is>
          <t>16-Apr</t>
        </is>
      </c>
      <c r="E18" s="200" t="inlineStr">
        <is>
          <t>16-Apr</t>
        </is>
      </c>
      <c r="F18" s="200" t="inlineStr">
        <is>
          <t>Freeda Reshma Dsouza</t>
        </is>
      </c>
      <c r="G18" s="200" t="inlineStr">
        <is>
          <t>Online</t>
        </is>
      </c>
      <c r="H18" s="200" t="inlineStr">
        <is>
          <t>Training Need Analysis</t>
        </is>
      </c>
      <c r="I18" s="201" t="n">
        <v>1</v>
      </c>
    </row>
    <row r="19" ht="21.75" customHeight="1" s="156">
      <c r="A19" s="199" t="n">
        <v>13</v>
      </c>
      <c r="B19" s="200" t="inlineStr">
        <is>
          <t>Self Assessment Form</t>
        </is>
      </c>
      <c r="C19" s="200" t="inlineStr">
        <is>
          <t>Building self assessment for CS</t>
        </is>
      </c>
      <c r="D19" s="200" t="inlineStr">
        <is>
          <t>17-Apr</t>
        </is>
      </c>
      <c r="E19" s="200" t="inlineStr">
        <is>
          <t>17-Apr</t>
        </is>
      </c>
      <c r="F19" s="200" t="inlineStr">
        <is>
          <t>Freeda Reshma Dsouza</t>
        </is>
      </c>
      <c r="G19" s="200" t="inlineStr">
        <is>
          <t>Online</t>
        </is>
      </c>
      <c r="H19" s="200" t="inlineStr">
        <is>
          <t>Self Assessment</t>
        </is>
      </c>
      <c r="I19" s="201" t="n">
        <v>0.5</v>
      </c>
    </row>
    <row r="20" ht="21.75" customHeight="1" s="156">
      <c r="A20" s="202" t="n">
        <v>14</v>
      </c>
      <c r="B20" s="203" t="inlineStr">
        <is>
          <t>Varsity Scripts Writing</t>
        </is>
      </c>
      <c r="C20" s="203" t="inlineStr">
        <is>
          <t>Script preparation</t>
        </is>
      </c>
      <c r="D20" s="203" t="inlineStr">
        <is>
          <t>-</t>
        </is>
      </c>
      <c r="E20" s="203" t="inlineStr">
        <is>
          <t>-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Varsity Scripts</t>
        </is>
      </c>
      <c r="I20" s="204" t="n">
        <v>2</v>
      </c>
    </row>
    <row r="21" ht="21.75" customHeight="1" s="156">
      <c r="A21" s="202" t="n">
        <v>15</v>
      </c>
      <c r="B21" s="203" t="inlineStr">
        <is>
          <t>Varsity Video Shoot</t>
        </is>
      </c>
      <c r="C21" s="203" t="inlineStr">
        <is>
          <t>Video recording</t>
        </is>
      </c>
      <c r="D21" s="203" t="inlineStr">
        <is>
          <t>-</t>
        </is>
      </c>
      <c r="E21" s="203" t="inlineStr">
        <is>
          <t>-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Varsity Videos</t>
        </is>
      </c>
      <c r="I21" s="204" t="n">
        <v>2</v>
      </c>
    </row>
    <row r="22" ht="21.75" customHeight="1" s="156">
      <c r="A22" s="202" t="n">
        <v>16</v>
      </c>
      <c r="B22" s="203" t="inlineStr">
        <is>
          <t>Varsity Backend Support</t>
        </is>
      </c>
      <c r="C22" s="203" t="inlineStr">
        <is>
          <t>Tickets, exam schedule</t>
        </is>
      </c>
      <c r="D22" s="203" t="inlineStr">
        <is>
          <t>-</t>
        </is>
      </c>
      <c r="E22" s="203" t="inlineStr">
        <is>
          <t>-</t>
        </is>
      </c>
      <c r="F22" s="203" t="inlineStr">
        <is>
          <t>Harish Bhat</t>
        </is>
      </c>
      <c r="G22" s="203" t="inlineStr">
        <is>
          <t>Offline</t>
        </is>
      </c>
      <c r="H22" s="203" t="inlineStr">
        <is>
          <t>Varsity Backend</t>
        </is>
      </c>
      <c r="I22" s="204" t="n">
        <v>15</v>
      </c>
    </row>
    <row r="23" ht="21.75" customHeight="1" s="156">
      <c r="A23" s="202" t="n">
        <v>17</v>
      </c>
      <c r="B23" s="203" t="inlineStr">
        <is>
          <t>Mock Calls</t>
        </is>
      </c>
      <c r="C23" s="203" t="inlineStr">
        <is>
          <t>Mock calls for SM</t>
        </is>
      </c>
      <c r="D23" s="203" t="inlineStr">
        <is>
          <t>30-Apr</t>
        </is>
      </c>
      <c r="E23" s="203" t="inlineStr">
        <is>
          <t>30-Apr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Mock calls</t>
        </is>
      </c>
      <c r="I23" s="204" t="n">
        <v>2</v>
      </c>
    </row>
    <row r="24" ht="21.75" customHeight="1" s="156">
      <c r="A24" s="202" t="n">
        <v>18</v>
      </c>
      <c r="B24" s="203" t="inlineStr">
        <is>
          <t>Mock Calls</t>
        </is>
      </c>
      <c r="C24" s="203" t="inlineStr">
        <is>
          <t>Mock calls for SM</t>
        </is>
      </c>
      <c r="D24" s="203" t="inlineStr">
        <is>
          <t>30-Apr</t>
        </is>
      </c>
      <c r="E24" s="203" t="inlineStr">
        <is>
          <t>30-Apr</t>
        </is>
      </c>
      <c r="F24" s="203" t="inlineStr">
        <is>
          <t>Girish A</t>
        </is>
      </c>
      <c r="G24" s="203" t="inlineStr">
        <is>
          <t>Offline</t>
        </is>
      </c>
      <c r="H24" s="203" t="inlineStr">
        <is>
          <t>Mock calls</t>
        </is>
      </c>
      <c r="I24" s="204" t="n">
        <v>2</v>
      </c>
    </row>
    <row r="25" ht="21.75" customHeight="1" s="156">
      <c r="A25" s="199" t="n">
        <v>19</v>
      </c>
      <c r="B25" s="200" t="inlineStr">
        <is>
          <t>Ticket Tool Video</t>
        </is>
      </c>
      <c r="C25" s="200" t="inlineStr">
        <is>
          <t>Video production</t>
        </is>
      </c>
      <c r="D25" s="200" t="inlineStr">
        <is>
          <t>2-May</t>
        </is>
      </c>
      <c r="E25" s="200" t="inlineStr">
        <is>
          <t>2-May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Ticket Tool</t>
        </is>
      </c>
      <c r="I25" s="201" t="n">
        <v>3</v>
      </c>
    </row>
    <row r="26" ht="27.75" customHeight="1" s="156">
      <c r="A26" s="205" t="inlineStr">
        <is>
          <t>TOTAL MAN HOURS THIS MONTH</t>
        </is>
      </c>
      <c r="B26" s="205" t="n"/>
      <c r="C26" s="205" t="n"/>
      <c r="D26" s="205" t="n"/>
      <c r="E26" s="205" t="n"/>
      <c r="F26" s="205" t="n"/>
      <c r="G26" s="205" t="n"/>
      <c r="H26" s="205" t="n"/>
      <c r="I26" s="206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6:H26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19" t="inlineStr">
        <is>
          <t>MAY 2026  —  TRAINING LOG</t>
        </is>
      </c>
      <c r="B2" s="220" t="n"/>
      <c r="C2" s="220" t="n"/>
      <c r="D2" s="220" t="n"/>
      <c r="E2" s="220" t="n"/>
      <c r="F2" s="220" t="n"/>
      <c r="G2" s="220" t="n"/>
      <c r="H2" s="220" t="n"/>
      <c r="I2" s="221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2" t="inlineStr">
        <is>
          <t>Zerodha Training &amp; Development  ·  All activities recorded for this month</t>
        </is>
      </c>
      <c r="B3" s="220" t="n"/>
      <c r="C3" s="220" t="n"/>
      <c r="D3" s="220" t="n"/>
      <c r="E3" s="220" t="n"/>
      <c r="F3" s="220" t="n"/>
      <c r="G3" s="220" t="n"/>
      <c r="H3" s="220" t="n"/>
      <c r="I3" s="221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3" t="inlineStr">
        <is>
          <t>← Use the sheet tabs at the bottom to navigate to other months or Dashboard</t>
        </is>
      </c>
      <c r="B4" s="220" t="n"/>
      <c r="C4" s="220" t="n"/>
      <c r="D4" s="220" t="n"/>
      <c r="E4" s="220" t="n"/>
      <c r="F4" s="220" t="n"/>
      <c r="G4" s="220" t="n"/>
      <c r="H4" s="220" t="n"/>
      <c r="I4" s="221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199" t="n">
        <v>1</v>
      </c>
      <c r="B7" s="200" t="inlineStr">
        <is>
          <t>Support Training</t>
        </is>
      </c>
      <c r="C7" s="200" t="inlineStr">
        <is>
          <t>Session on AML and unsolicited SMS and tips</t>
        </is>
      </c>
      <c r="D7" s="200" t="inlineStr">
        <is>
          <t>2026-05-15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Session on AML and unsolicited SMS and tips</t>
        </is>
      </c>
      <c r="I7" s="201" t="n">
        <v>0.75</v>
      </c>
    </row>
    <row r="8" ht="21.75" customHeight="1" s="156">
      <c r="A8" s="199" t="n">
        <v>2</v>
      </c>
      <c r="B8" s="200" t="inlineStr">
        <is>
          <t>Support Training</t>
        </is>
      </c>
      <c r="C8" s="200" t="inlineStr">
        <is>
          <t>Session on AML and Unsolicited SMS &amp; Tips</t>
        </is>
      </c>
      <c r="D8" s="200" t="inlineStr">
        <is>
          <t>2026-05-15</t>
        </is>
      </c>
      <c r="E8" s="200" t="inlineStr">
        <is>
          <t>—</t>
        </is>
      </c>
      <c r="F8" s="200" t="inlineStr">
        <is>
          <t>Harish Bhat</t>
        </is>
      </c>
      <c r="G8" s="200" t="inlineStr">
        <is>
          <t>Online</t>
        </is>
      </c>
      <c r="H8" s="200" t="inlineStr">
        <is>
          <t>Session on AML and Unsolicited SMS &amp; Tips</t>
        </is>
      </c>
      <c r="I8" s="201" t="n">
        <v>0.75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Meeting with CS</t>
        </is>
      </c>
      <c r="D9" s="200" t="inlineStr">
        <is>
          <t>2026-05-18</t>
        </is>
      </c>
      <c r="E9" s="200" t="inlineStr">
        <is>
          <t>—</t>
        </is>
      </c>
      <c r="F9" s="200" t="inlineStr">
        <is>
          <t>Freeda Reshma Dsouza</t>
        </is>
      </c>
      <c r="G9" s="200" t="inlineStr">
        <is>
          <t>Online</t>
        </is>
      </c>
      <c r="H9" s="200" t="inlineStr">
        <is>
          <t>Meeting with CS</t>
        </is>
      </c>
      <c r="I9" s="201" t="n">
        <v>0.25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Session on Primary and Secondary transfer of securities and SOPs of Abusive calls</t>
        </is>
      </c>
      <c r="D10" s="200" t="inlineStr">
        <is>
          <t>2026-05-22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Session on Primary and Secondary transfer of securities and SOPs of Abusive calls</t>
        </is>
      </c>
      <c r="I10" s="201" t="n">
        <v>1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Session on Primary and Secondary transfer of securities and SOPs of Abusive calls</t>
        </is>
      </c>
      <c r="D11" s="200" t="inlineStr">
        <is>
          <t>2026-05-22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Session on Primary and Secondary transfer of securities and SOPs of Abusive calls</t>
        </is>
      </c>
      <c r="I11" s="201" t="n">
        <v>1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Reviweing the Mock call and Pick &amp; Speak Assessments</t>
        </is>
      </c>
      <c r="D12" s="200" t="inlineStr">
        <is>
          <t>2026-05-18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Reviweing the Mock call and Pick &amp; Speak Assessments</t>
        </is>
      </c>
      <c r="I12" s="201" t="n">
        <v>2.5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AML &amp; Unsolicited SMS training</t>
        </is>
      </c>
      <c r="D13" s="200" t="inlineStr">
        <is>
          <t>2026-05-08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AML &amp; Unsolicited SMS training</t>
        </is>
      </c>
      <c r="I13" s="201" t="n">
        <v>0.75</v>
      </c>
    </row>
    <row r="14" ht="21.75" customHeight="1" s="156">
      <c r="A14" s="199" t="n">
        <v>8</v>
      </c>
      <c r="B14" s="200" t="inlineStr">
        <is>
          <t>Support Training</t>
        </is>
      </c>
      <c r="C14" s="200" t="inlineStr">
        <is>
          <t>Session on Primary and Secondary transfer of securities and SOPs of Abusive calls</t>
        </is>
      </c>
      <c r="D14" s="200" t="inlineStr">
        <is>
          <t>2026-05-20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Session on Primary and Secondary transfer of securities and SOPs of Abusive calls</t>
        </is>
      </c>
      <c r="I14" s="201" t="n">
        <v>1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Meeting with legal team</t>
        </is>
      </c>
      <c r="D15" s="200" t="inlineStr">
        <is>
          <t>2026-05-12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Rupeetales meeting</t>
        </is>
      </c>
      <c r="I15" s="201" t="n">
        <v>0.5</v>
      </c>
    </row>
    <row r="16" ht="21.75" customHeight="1" s="156">
      <c r="A16" s="199" t="n">
        <v>10</v>
      </c>
      <c r="B16" s="200" t="inlineStr">
        <is>
          <t>Support Training</t>
        </is>
      </c>
      <c r="C16" s="200" t="inlineStr">
        <is>
          <t>Training for CS</t>
        </is>
      </c>
      <c r="D16" s="200" t="inlineStr">
        <is>
          <t>2026-05-19</t>
        </is>
      </c>
      <c r="E16" s="200" t="inlineStr">
        <is>
          <t>—</t>
        </is>
      </c>
      <c r="F16" s="200" t="inlineStr">
        <is>
          <t>Freeda Reshma Dsouza</t>
        </is>
      </c>
      <c r="G16" s="200" t="inlineStr">
        <is>
          <t>Online</t>
        </is>
      </c>
      <c r="H16" s="200" t="inlineStr">
        <is>
          <t>Training for CS</t>
        </is>
      </c>
      <c r="I16" s="201" t="n">
        <v>1.5</v>
      </c>
    </row>
    <row r="17" ht="21.75" customHeight="1" s="156">
      <c r="A17" s="199" t="n">
        <v>11</v>
      </c>
      <c r="B17" s="200" t="inlineStr">
        <is>
          <t>Support Training</t>
        </is>
      </c>
      <c r="C17" s="200" t="inlineStr">
        <is>
          <t>Session on Primary and Secondary transfer of securities and SOPs of Abusive calls</t>
        </is>
      </c>
      <c r="D17" s="200" t="inlineStr">
        <is>
          <t>2026-05-20</t>
        </is>
      </c>
      <c r="E17" s="200" t="inlineStr">
        <is>
          <t>—</t>
        </is>
      </c>
      <c r="F17" s="200" t="inlineStr">
        <is>
          <t>Harish Bhat</t>
        </is>
      </c>
      <c r="G17" s="200" t="inlineStr">
        <is>
          <t>Online</t>
        </is>
      </c>
      <c r="H17" s="200" t="inlineStr">
        <is>
          <t>Session on Primary and Secondary transfer of securities and SOPs of Abusive calls</t>
        </is>
      </c>
      <c r="I17" s="201" t="n">
        <v>1.25</v>
      </c>
    </row>
    <row r="18" ht="21.75" customHeight="1" s="156">
      <c r="A18" s="199" t="n">
        <v>12</v>
      </c>
      <c r="B18" s="200" t="inlineStr">
        <is>
          <t>Support Training</t>
        </is>
      </c>
      <c r="C18" s="200" t="inlineStr">
        <is>
          <t>Session on Primary and Secondary transfer of securities and SOPs of Abusive calls ·  Harish</t>
        </is>
      </c>
      <c r="D18" s="200" t="inlineStr">
        <is>
          <t>2026-05-21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Session on Primary and Secondary transfer of securities and SOPs of Abusive calls ·  Harish</t>
        </is>
      </c>
      <c r="I18" s="201" t="n">
        <v>1.25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Sadique team</t>
        </is>
      </c>
      <c r="D19" s="203" t="inlineStr">
        <is>
          <t>2026-05-04</t>
        </is>
      </c>
      <c r="E19" s="203" t="inlineStr">
        <is>
          <t>—</t>
        </is>
      </c>
      <c r="F19" s="203" t="inlineStr">
        <is>
          <t>Freeda Reshma Dsouza</t>
        </is>
      </c>
      <c r="G19" s="203" t="inlineStr">
        <is>
          <t>Offline</t>
        </is>
      </c>
      <c r="H19" s="203" t="inlineStr">
        <is>
          <t>Communicate 360- Anish's team</t>
        </is>
      </c>
      <c r="I19" s="204" t="n">
        <v>4.5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Communicate 360- Anish's team</t>
        </is>
      </c>
      <c r="D20" s="203" t="inlineStr">
        <is>
          <t>2026-05-05</t>
        </is>
      </c>
      <c r="E20" s="203" t="inlineStr">
        <is>
          <t>—</t>
        </is>
      </c>
      <c r="F20" s="203" t="inlineStr">
        <is>
          <t>Freeda Reshma Dsouza</t>
        </is>
      </c>
      <c r="G20" s="203" t="inlineStr">
        <is>
          <t>Offline</t>
        </is>
      </c>
      <c r="H20" s="203" t="inlineStr">
        <is>
          <t>Communicate 360- Anish's team</t>
        </is>
      </c>
      <c r="I20" s="204" t="n">
        <v>4.5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Anish's team</t>
        </is>
      </c>
      <c r="D21" s="203" t="inlineStr">
        <is>
          <t>2026-05-06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Anish's team</t>
        </is>
      </c>
      <c r="I21" s="204" t="n">
        <v>3.5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Anish's team</t>
        </is>
      </c>
      <c r="D22" s="203" t="inlineStr">
        <is>
          <t>2026-05-07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Anish's team</t>
        </is>
      </c>
      <c r="I22" s="204" t="n">
        <v>3.5</v>
      </c>
    </row>
    <row r="23" ht="27.75" customHeight="1" s="156">
      <c r="A23" s="199" t="n">
        <v>17</v>
      </c>
      <c r="B23" s="200" t="inlineStr">
        <is>
          <t>Support Training</t>
        </is>
      </c>
      <c r="C23" s="200" t="inlineStr">
        <is>
          <t>Review on Pick &amp; Speak</t>
        </is>
      </c>
      <c r="D23" s="200" t="inlineStr">
        <is>
          <t>2026-05-07</t>
        </is>
      </c>
      <c r="E23" s="200" t="inlineStr">
        <is>
          <t>—</t>
        </is>
      </c>
      <c r="F23" s="200" t="inlineStr">
        <is>
          <t>Freeda Reshma Dsouza</t>
        </is>
      </c>
      <c r="G23" s="200" t="inlineStr">
        <is>
          <t>Online</t>
        </is>
      </c>
      <c r="H23" s="200" t="inlineStr">
        <is>
          <t>Review on Pick &amp; Speak</t>
        </is>
      </c>
      <c r="I23" s="201" t="n">
        <v>2</v>
      </c>
    </row>
    <row r="24" ht="27.75" customHeight="1" s="156">
      <c r="A24" s="199" t="n">
        <v>18</v>
      </c>
      <c r="B24" s="200" t="inlineStr">
        <is>
          <t>Support Training</t>
        </is>
      </c>
      <c r="C24" s="200" t="inlineStr">
        <is>
          <t>Session on Unsolicited SMS and Tips</t>
        </is>
      </c>
      <c r="D24" s="200" t="inlineStr">
        <is>
          <t>2026-05-27</t>
        </is>
      </c>
      <c r="E24" s="200" t="inlineStr">
        <is>
          <t>—</t>
        </is>
      </c>
      <c r="F24" s="200" t="inlineStr">
        <is>
          <t>Girish A</t>
        </is>
      </c>
      <c r="G24" s="200" t="inlineStr">
        <is>
          <t>Online</t>
        </is>
      </c>
      <c r="H24" s="200" t="inlineStr">
        <is>
          <t>Session on Unsolicited SMS and Tips</t>
        </is>
      </c>
      <c r="I24" s="201" t="n">
        <v>0.5</v>
      </c>
    </row>
    <row r="25" ht="27.75" customHeight="1" s="156">
      <c r="A25" s="199" t="n">
        <v>19</v>
      </c>
      <c r="B25" s="200" t="inlineStr">
        <is>
          <t>Support Training</t>
        </is>
      </c>
      <c r="C25" s="200" t="inlineStr">
        <is>
          <t>Session on Primary and Secondary transfer of securities and SOPs of Abusive calls</t>
        </is>
      </c>
      <c r="D25" s="200" t="inlineStr">
        <is>
          <t>2026-05-20</t>
        </is>
      </c>
      <c r="E25" s="200" t="inlineStr">
        <is>
          <t>—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Session on Primary and Secondary transfer of securities and SOPs of Abusive calls</t>
        </is>
      </c>
      <c r="I25" s="201" t="n">
        <v>1</v>
      </c>
    </row>
    <row r="26" ht="27.75" customHeight="1" s="156">
      <c r="A26" s="199" t="n">
        <v>20</v>
      </c>
      <c r="B26" s="200" t="inlineStr">
        <is>
          <t>Support Training</t>
        </is>
      </c>
      <c r="C26" s="200" t="inlineStr">
        <is>
          <t>Session on Primary and Secondary transfer of securities and SOPs of Abusive calls</t>
        </is>
      </c>
      <c r="D26" s="200" t="inlineStr">
        <is>
          <t>2026-05-25</t>
        </is>
      </c>
      <c r="E26" s="200" t="inlineStr">
        <is>
          <t>—</t>
        </is>
      </c>
      <c r="F26" s="200" t="inlineStr">
        <is>
          <t>Girish A</t>
        </is>
      </c>
      <c r="G26" s="200" t="inlineStr">
        <is>
          <t>Online</t>
        </is>
      </c>
      <c r="H26" s="200" t="inlineStr">
        <is>
          <t>Session on Primary and Secondary transfer of securities and SOPs of Abusive calls</t>
        </is>
      </c>
      <c r="I26" s="201" t="n">
        <v>1</v>
      </c>
    </row>
    <row r="27" ht="27.75" customHeight="1" s="156">
      <c r="A27" s="199" t="n">
        <v>21</v>
      </c>
      <c r="B27" s="200" t="inlineStr">
        <is>
          <t>Support Training</t>
        </is>
      </c>
      <c r="C27" s="200" t="inlineStr">
        <is>
          <t>Session on Unsolicited SMS and Tips</t>
        </is>
      </c>
      <c r="D27" s="200" t="inlineStr">
        <is>
          <t>2026-05-27</t>
        </is>
      </c>
      <c r="E27" s="200" t="inlineStr">
        <is>
          <t>—</t>
        </is>
      </c>
      <c r="F27" s="200" t="inlineStr">
        <is>
          <t>Girish A</t>
        </is>
      </c>
      <c r="G27" s="200" t="inlineStr">
        <is>
          <t>Online</t>
        </is>
      </c>
      <c r="H27" s="200" t="inlineStr">
        <is>
          <t>Session on Unsolicited SMS and Tips</t>
        </is>
      </c>
      <c r="I27" s="201" t="n">
        <v>1</v>
      </c>
    </row>
    <row r="28" ht="27.75" customHeight="1" s="156">
      <c r="A28" s="199" t="n">
        <v>22</v>
      </c>
      <c r="B28" s="200" t="inlineStr">
        <is>
          <t>Assessment</t>
        </is>
      </c>
      <c r="C28" s="200" t="inlineStr">
        <is>
          <t>Reviweing the Mock call and Pick &amp; Speak Assessments</t>
        </is>
      </c>
      <c r="D28" s="200" t="inlineStr">
        <is>
          <t>2026-05-18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Reviweing the Mock call and Pick &amp; Speak Assessments</t>
        </is>
      </c>
      <c r="I28" s="201" t="n">
        <v>2.5</v>
      </c>
    </row>
    <row r="29" ht="15.75" customHeight="1" s="156">
      <c r="A29" s="202" t="n">
        <v>23</v>
      </c>
      <c r="B29" s="203" t="inlineStr">
        <is>
          <t>Other</t>
        </is>
      </c>
      <c r="C29" s="203" t="inlineStr">
        <is>
          <t>Varsity shoot</t>
        </is>
      </c>
      <c r="D29" s="203" t="inlineStr">
        <is>
          <t>2026-05-22</t>
        </is>
      </c>
      <c r="E29" s="203" t="inlineStr">
        <is>
          <t>—</t>
        </is>
      </c>
      <c r="F29" s="203" t="inlineStr">
        <is>
          <t>Harish Bhat</t>
        </is>
      </c>
      <c r="G29" s="203" t="inlineStr">
        <is>
          <t>Offline</t>
        </is>
      </c>
      <c r="H29" s="203" t="inlineStr">
        <is>
          <t>Varsity shoot</t>
        </is>
      </c>
      <c r="I29" s="204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Session on Primary and Secondary transfer of securities and SOPs of Abusive calls</t>
        </is>
      </c>
      <c r="D30" s="200" t="inlineStr">
        <is>
          <t>2026-05-22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Session on Primary and Secondary transfer of securities and SOPs of Abusive calls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Other</t>
        </is>
      </c>
      <c r="C31" s="200" t="inlineStr">
        <is>
          <t>Preperation for Session on Primary and Secondary transfer of securities and SOPs of Abusive calls</t>
        </is>
      </c>
      <c r="D31" s="200" t="inlineStr">
        <is>
          <t>2026-05-19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Preperation for Session on Primary and Secondary transfer of securities and SOPs of Abusive calls</t>
        </is>
      </c>
      <c r="I31" s="201" t="n">
        <v>6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Varsity script work</t>
        </is>
      </c>
      <c r="D32" s="200" t="inlineStr">
        <is>
          <t>2026-05-13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Varsity script work</t>
        </is>
      </c>
      <c r="I32" s="201" t="n">
        <v>2</v>
      </c>
    </row>
    <row r="33" ht="15.75" customHeight="1" s="156">
      <c r="A33" s="199" t="n">
        <v>27</v>
      </c>
      <c r="B33" s="200" t="inlineStr">
        <is>
          <t>Other</t>
        </is>
      </c>
      <c r="C33" s="200" t="inlineStr">
        <is>
          <t>Varsity script work</t>
        </is>
      </c>
      <c r="D33" s="200" t="inlineStr">
        <is>
          <t>2026-05-11</t>
        </is>
      </c>
      <c r="E33" s="200" t="inlineStr">
        <is>
          <t>—</t>
        </is>
      </c>
      <c r="F33" s="200" t="inlineStr">
        <is>
          <t>Harish Bhat</t>
        </is>
      </c>
      <c r="G33" s="200" t="inlineStr">
        <is>
          <t>Online</t>
        </is>
      </c>
      <c r="H33" s="200" t="inlineStr">
        <is>
          <t>Varsity script work</t>
        </is>
      </c>
      <c r="I33" s="201" t="n">
        <v>2</v>
      </c>
    </row>
    <row r="34" ht="15.75" customHeight="1" s="156">
      <c r="A34" s="202" t="n">
        <v>28</v>
      </c>
      <c r="B34" s="203" t="inlineStr">
        <is>
          <t>Assessment</t>
        </is>
      </c>
      <c r="C34" s="203" t="inlineStr">
        <is>
          <t>Communicate 360- Anish's team · proctoring</t>
        </is>
      </c>
      <c r="D34" s="203" t="inlineStr">
        <is>
          <t>2026-05-11</t>
        </is>
      </c>
      <c r="E34" s="203" t="inlineStr">
        <is>
          <t>—</t>
        </is>
      </c>
      <c r="F34" s="203" t="inlineStr">
        <is>
          <t>Harish Bhat</t>
        </is>
      </c>
      <c r="G34" s="203" t="inlineStr">
        <is>
          <t>Offline</t>
        </is>
      </c>
      <c r="H34" s="203" t="inlineStr">
        <is>
          <t>Communicate 360- Anish's team · proctoring</t>
        </is>
      </c>
      <c r="I34" s="204" t="n">
        <v>2</v>
      </c>
    </row>
    <row r="35" ht="15.75" customHeight="1" s="156">
      <c r="A35" s="202" t="n">
        <v>29</v>
      </c>
      <c r="B35" s="203" t="inlineStr">
        <is>
          <t>Assessment</t>
        </is>
      </c>
      <c r="C35" s="203" t="inlineStr">
        <is>
          <t>Communicate 360- Anish's team · proctoring</t>
        </is>
      </c>
      <c r="D35" s="203" t="inlineStr">
        <is>
          <t>2026-05-12</t>
        </is>
      </c>
      <c r="E35" s="203" t="inlineStr">
        <is>
          <t>—</t>
        </is>
      </c>
      <c r="F35" s="203" t="inlineStr">
        <is>
          <t>Harish Bhat</t>
        </is>
      </c>
      <c r="G35" s="203" t="inlineStr">
        <is>
          <t>Offline</t>
        </is>
      </c>
      <c r="H35" s="203" t="inlineStr">
        <is>
          <t>Communicate 360- Anish's team · proctoring</t>
        </is>
      </c>
      <c r="I35" s="204" t="n">
        <v>1</v>
      </c>
    </row>
    <row r="36" ht="15.75" customHeight="1" s="156">
      <c r="A36" s="202" t="n">
        <v>30</v>
      </c>
      <c r="B36" s="203" t="inlineStr">
        <is>
          <t>Support Training</t>
        </is>
      </c>
      <c r="C36" s="203" t="inlineStr">
        <is>
          <t>Communicate 360- Anish's team · proctoring  &amp; mockcall</t>
        </is>
      </c>
      <c r="D36" s="203" t="inlineStr">
        <is>
          <t>2026-05-14</t>
        </is>
      </c>
      <c r="E36" s="203" t="inlineStr">
        <is>
          <t>—</t>
        </is>
      </c>
      <c r="F36" s="203" t="inlineStr">
        <is>
          <t>Harish Bhat</t>
        </is>
      </c>
      <c r="G36" s="203" t="inlineStr">
        <is>
          <t>Offline</t>
        </is>
      </c>
      <c r="H36" s="203" t="inlineStr">
        <is>
          <t>Communicate 360- Anish's team · proctoring  &amp; mockcall</t>
        </is>
      </c>
      <c r="I36" s="204" t="n">
        <v>4</v>
      </c>
    </row>
    <row r="37" ht="15.75" customHeight="1" s="156">
      <c r="A37" s="202" t="n">
        <v>31</v>
      </c>
      <c r="B37" s="203" t="inlineStr">
        <is>
          <t>Other</t>
        </is>
      </c>
      <c r="C37" s="203" t="inlineStr">
        <is>
          <t>QOD Preperation</t>
        </is>
      </c>
      <c r="D37" s="203" t="inlineStr">
        <is>
          <t>2026-05-27</t>
        </is>
      </c>
      <c r="E37" s="203" t="inlineStr">
        <is>
          <t>—</t>
        </is>
      </c>
      <c r="F37" s="203" t="inlineStr">
        <is>
          <t>Harish Bhat</t>
        </is>
      </c>
      <c r="G37" s="203" t="inlineStr">
        <is>
          <t>Offline</t>
        </is>
      </c>
      <c r="H37" s="203" t="inlineStr">
        <is>
          <t>QOD Preperation</t>
        </is>
      </c>
      <c r="I37" s="204" t="n">
        <v>0.5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tickets</t>
        </is>
      </c>
      <c r="D38" s="200" t="inlineStr">
        <is>
          <t>2026-05-04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tickets</t>
        </is>
      </c>
      <c r="I38" s="201" t="n">
        <v>0.25</v>
      </c>
    </row>
    <row r="39" ht="15.75" customHeight="1" s="156">
      <c r="A39" s="199" t="n">
        <v>33</v>
      </c>
      <c r="B39" s="200" t="inlineStr">
        <is>
          <t>Other</t>
        </is>
      </c>
      <c r="C39" s="200" t="inlineStr">
        <is>
          <t>varsity tickets</t>
        </is>
      </c>
      <c r="D39" s="200" t="inlineStr">
        <is>
          <t>2026-05-05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varsity tickets</t>
        </is>
      </c>
      <c r="I39" s="201" t="n">
        <v>0.25</v>
      </c>
    </row>
    <row r="40" ht="15.75" customHeight="1" s="156">
      <c r="A40" s="199" t="n">
        <v>34</v>
      </c>
      <c r="B40" s="200" t="inlineStr">
        <is>
          <t>Other</t>
        </is>
      </c>
      <c r="C40" s="200" t="inlineStr">
        <is>
          <t>varsity tickets</t>
        </is>
      </c>
      <c r="D40" s="200" t="inlineStr">
        <is>
          <t>2026-05-06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varsity tickets</t>
        </is>
      </c>
      <c r="I40" s="201" t="n">
        <v>0.25</v>
      </c>
    </row>
    <row r="41" ht="15.75" customHeight="1" s="156">
      <c r="A41" s="202" t="n">
        <v>35</v>
      </c>
      <c r="B41" s="203" t="inlineStr">
        <is>
          <t>Support Training</t>
        </is>
      </c>
      <c r="C41" s="203" t="inlineStr">
        <is>
          <t>Communicate 360- Anish's team · proctoring</t>
        </is>
      </c>
      <c r="D41" s="203" t="inlineStr">
        <is>
          <t>2026-05-04</t>
        </is>
      </c>
      <c r="E41" s="203" t="inlineStr">
        <is>
          <t>—</t>
        </is>
      </c>
      <c r="F41" s="203" t="inlineStr">
        <is>
          <t>Harish Bhat</t>
        </is>
      </c>
      <c r="G41" s="203" t="inlineStr">
        <is>
          <t>Offline</t>
        </is>
      </c>
      <c r="H41" s="203" t="inlineStr">
        <is>
          <t>Communicate 360- Anish's team · proctoring</t>
        </is>
      </c>
      <c r="I41" s="204" t="n">
        <v>3</v>
      </c>
    </row>
    <row r="42" ht="15.75" customHeight="1" s="156">
      <c r="A42" s="202" t="n">
        <v>36</v>
      </c>
      <c r="B42" s="203" t="inlineStr">
        <is>
          <t>Support Training</t>
        </is>
      </c>
      <c r="C42" s="203" t="inlineStr">
        <is>
          <t>Communicate 360- Anish's team</t>
        </is>
      </c>
      <c r="D42" s="203" t="inlineStr">
        <is>
          <t>2026-05-05</t>
        </is>
      </c>
      <c r="E42" s="203" t="inlineStr">
        <is>
          <t>—</t>
        </is>
      </c>
      <c r="F42" s="203" t="inlineStr">
        <is>
          <t>Harish Bhat</t>
        </is>
      </c>
      <c r="G42" s="203" t="inlineStr">
        <is>
          <t>Offline</t>
        </is>
      </c>
      <c r="H42" s="203" t="inlineStr">
        <is>
          <t>Communicate 360- Anish's team</t>
        </is>
      </c>
      <c r="I42" s="204" t="n">
        <v>3</v>
      </c>
    </row>
    <row r="43" ht="15.75" customHeight="1" s="156">
      <c r="A43" s="202" t="n">
        <v>37</v>
      </c>
      <c r="B43" s="203" t="inlineStr">
        <is>
          <t>Support Training</t>
        </is>
      </c>
      <c r="C43" s="203" t="inlineStr">
        <is>
          <t>Communicate 360- Anish's team proctoring</t>
        </is>
      </c>
      <c r="D43" s="203" t="inlineStr">
        <is>
          <t>2026-05-06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Communicate 360- Anish's team proctoring</t>
        </is>
      </c>
      <c r="I43" s="204" t="n">
        <v>2</v>
      </c>
    </row>
    <row r="44" ht="15.75" customHeight="1" s="156">
      <c r="A44" s="199" t="n">
        <v>38</v>
      </c>
      <c r="B44" s="200" t="inlineStr">
        <is>
          <t>Assessment</t>
        </is>
      </c>
      <c r="C44" s="200" t="inlineStr">
        <is>
          <t>Review on Pick &amp; Speak &amp; mockcall</t>
        </is>
      </c>
      <c r="D44" s="200" t="inlineStr">
        <is>
          <t>2026-05-08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Review on Pick &amp; Speak &amp; mockcall</t>
        </is>
      </c>
      <c r="I44" s="201" t="n">
        <v>4</v>
      </c>
    </row>
    <row r="45" ht="15.75" customHeight="1" s="156">
      <c r="A45" s="202" t="n">
        <v>39</v>
      </c>
      <c r="B45" s="203" t="inlineStr">
        <is>
          <t>Assessment</t>
        </is>
      </c>
      <c r="C45" s="203" t="inlineStr">
        <is>
          <t>Communicate 360- Anish's team · proctoring</t>
        </is>
      </c>
      <c r="D45" s="203" t="inlineStr">
        <is>
          <t>2026-05-11</t>
        </is>
      </c>
      <c r="E45" s="203" t="inlineStr">
        <is>
          <t>—</t>
        </is>
      </c>
      <c r="F45" s="203" t="inlineStr">
        <is>
          <t>Harish Bhat</t>
        </is>
      </c>
      <c r="G45" s="203" t="inlineStr">
        <is>
          <t>Offline</t>
        </is>
      </c>
      <c r="H45" s="203" t="inlineStr">
        <is>
          <t>Communicate 360- Anish's team · proctoring</t>
        </is>
      </c>
      <c r="I45" s="204" t="n">
        <v>3</v>
      </c>
    </row>
    <row r="46" ht="15.75" customHeight="1" s="156">
      <c r="A46" s="202" t="n">
        <v>40</v>
      </c>
      <c r="B46" s="203" t="inlineStr">
        <is>
          <t>Assessment</t>
        </is>
      </c>
      <c r="C46" s="203" t="inlineStr">
        <is>
          <t>Communicate 360- Anish's team · proctoring</t>
        </is>
      </c>
      <c r="D46" s="203" t="inlineStr">
        <is>
          <t>2026-05-12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Communicate 360- Anish's team · proctoring</t>
        </is>
      </c>
      <c r="I46" s="204" t="n">
        <v>1.5</v>
      </c>
    </row>
    <row r="47" ht="15.75" customHeight="1" s="156">
      <c r="A47" s="202" t="n">
        <v>41</v>
      </c>
      <c r="B47" s="203" t="inlineStr">
        <is>
          <t>Assessment</t>
        </is>
      </c>
      <c r="C47" s="203" t="inlineStr">
        <is>
          <t>Communicate 360- Anish's team · proctoring</t>
        </is>
      </c>
      <c r="D47" s="203" t="inlineStr">
        <is>
          <t>2026-05-13</t>
        </is>
      </c>
      <c r="E47" s="203" t="inlineStr">
        <is>
          <t>—</t>
        </is>
      </c>
      <c r="F47" s="203" t="inlineStr">
        <is>
          <t>Harish Bhat</t>
        </is>
      </c>
      <c r="G47" s="203" t="inlineStr">
        <is>
          <t>Offline</t>
        </is>
      </c>
      <c r="H47" s="203" t="inlineStr">
        <is>
          <t>Communicate 360- Anish's team · proctoring</t>
        </is>
      </c>
      <c r="I47" s="204" t="n">
        <v>3</v>
      </c>
    </row>
    <row r="48" ht="15.75" customHeight="1" s="156">
      <c r="A48" s="202" t="n">
        <v>42</v>
      </c>
      <c r="B48" s="203" t="inlineStr">
        <is>
          <t>Assessment</t>
        </is>
      </c>
      <c r="C48" s="203" t="inlineStr">
        <is>
          <t>Communicate 360- Anish's team · proctoring</t>
        </is>
      </c>
      <c r="D48" s="203" t="inlineStr">
        <is>
          <t>2026-05-14</t>
        </is>
      </c>
      <c r="E48" s="203" t="inlineStr">
        <is>
          <t>—</t>
        </is>
      </c>
      <c r="F48" s="203" t="inlineStr">
        <is>
          <t>Harish Bhat</t>
        </is>
      </c>
      <c r="G48" s="203" t="inlineStr">
        <is>
          <t>Offline</t>
        </is>
      </c>
      <c r="H48" s="203" t="inlineStr">
        <is>
          <t>Communicate 360- Anish's team · proctoring</t>
        </is>
      </c>
      <c r="I48" s="204" t="n">
        <v>3</v>
      </c>
    </row>
    <row r="49" ht="15.75" customHeight="1" s="156">
      <c r="A49" s="199" t="n">
        <v>43</v>
      </c>
      <c r="B49" s="200" t="inlineStr">
        <is>
          <t>Other</t>
        </is>
      </c>
      <c r="C49" s="200" t="inlineStr">
        <is>
          <t>varsity tickets</t>
        </is>
      </c>
      <c r="D49" s="200" t="inlineStr">
        <is>
          <t>2026-05-07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varsity tickets</t>
        </is>
      </c>
      <c r="I49" s="201" t="n">
        <v>0.25</v>
      </c>
    </row>
    <row r="50" ht="15.75" customHeight="1" s="156">
      <c r="A50" s="199" t="n">
        <v>44</v>
      </c>
      <c r="B50" s="200" t="inlineStr">
        <is>
          <t>Other</t>
        </is>
      </c>
      <c r="C50" s="200" t="inlineStr">
        <is>
          <t>varsity tickets</t>
        </is>
      </c>
      <c r="D50" s="200" t="inlineStr">
        <is>
          <t>2026-05-08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varsity tickets</t>
        </is>
      </c>
      <c r="I50" s="201" t="n">
        <v>0.25</v>
      </c>
    </row>
    <row r="51" ht="15.75" customHeight="1" s="156">
      <c r="A51" s="199" t="n">
        <v>45</v>
      </c>
      <c r="B51" s="200" t="inlineStr">
        <is>
          <t>Other</t>
        </is>
      </c>
      <c r="C51" s="200" t="inlineStr">
        <is>
          <t>varsity tickets</t>
        </is>
      </c>
      <c r="D51" s="200" t="inlineStr">
        <is>
          <t>2026-05-11</t>
        </is>
      </c>
      <c r="E51" s="200" t="inlineStr">
        <is>
          <t>—</t>
        </is>
      </c>
      <c r="F51" s="200" t="inlineStr">
        <is>
          <t>Harish Bhat</t>
        </is>
      </c>
      <c r="G51" s="200" t="inlineStr">
        <is>
          <t>Online</t>
        </is>
      </c>
      <c r="H51" s="200" t="inlineStr">
        <is>
          <t>varsity tickets</t>
        </is>
      </c>
      <c r="I51" s="201" t="n">
        <v>0.25</v>
      </c>
    </row>
    <row r="52" ht="15.75" customHeight="1" s="156">
      <c r="A52" s="199" t="n">
        <v>46</v>
      </c>
      <c r="B52" s="200" t="inlineStr">
        <is>
          <t>Other</t>
        </is>
      </c>
      <c r="C52" s="200" t="inlineStr">
        <is>
          <t>varsity tickets</t>
        </is>
      </c>
      <c r="D52" s="200" t="inlineStr">
        <is>
          <t>2026-05-12</t>
        </is>
      </c>
      <c r="E52" s="200" t="inlineStr">
        <is>
          <t>—</t>
        </is>
      </c>
      <c r="F52" s="200" t="inlineStr">
        <is>
          <t>Harish Bhat</t>
        </is>
      </c>
      <c r="G52" s="200" t="inlineStr">
        <is>
          <t>Online</t>
        </is>
      </c>
      <c r="H52" s="200" t="inlineStr">
        <is>
          <t>varsity tickets</t>
        </is>
      </c>
      <c r="I52" s="201" t="n">
        <v>0.25</v>
      </c>
    </row>
    <row r="53" ht="15.75" customHeight="1" s="156">
      <c r="A53" s="199" t="n">
        <v>47</v>
      </c>
      <c r="B53" s="200" t="inlineStr">
        <is>
          <t>Other</t>
        </is>
      </c>
      <c r="C53" s="200" t="inlineStr">
        <is>
          <t>varsity tickets</t>
        </is>
      </c>
      <c r="D53" s="200" t="inlineStr">
        <is>
          <t>2026-05-13</t>
        </is>
      </c>
      <c r="E53" s="200" t="inlineStr">
        <is>
          <t>—</t>
        </is>
      </c>
      <c r="F53" s="200" t="inlineStr">
        <is>
          <t>Harish Bhat</t>
        </is>
      </c>
      <c r="G53" s="200" t="inlineStr">
        <is>
          <t>Online</t>
        </is>
      </c>
      <c r="H53" s="200" t="inlineStr">
        <is>
          <t>varsity tickets</t>
        </is>
      </c>
      <c r="I53" s="201" t="n">
        <v>0.25</v>
      </c>
    </row>
    <row r="54" ht="15.75" customHeight="1" s="156">
      <c r="A54" s="199" t="n">
        <v>48</v>
      </c>
      <c r="B54" s="200" t="inlineStr">
        <is>
          <t>Other</t>
        </is>
      </c>
      <c r="C54" s="200" t="inlineStr">
        <is>
          <t>varsity tickets</t>
        </is>
      </c>
      <c r="D54" s="200" t="inlineStr">
        <is>
          <t>2026-05-14</t>
        </is>
      </c>
      <c r="E54" s="200" t="inlineStr">
        <is>
          <t>—</t>
        </is>
      </c>
      <c r="F54" s="200" t="inlineStr">
        <is>
          <t>Harish Bhat</t>
        </is>
      </c>
      <c r="G54" s="200" t="inlineStr">
        <is>
          <t>Online</t>
        </is>
      </c>
      <c r="H54" s="200" t="inlineStr">
        <is>
          <t>varsity tickets</t>
        </is>
      </c>
      <c r="I54" s="201" t="n">
        <v>0.25</v>
      </c>
    </row>
    <row r="55" ht="15.75" customHeight="1" s="156">
      <c r="A55" s="199" t="n">
        <v>49</v>
      </c>
      <c r="B55" s="200" t="inlineStr">
        <is>
          <t>Support Training</t>
        </is>
      </c>
      <c r="C55" s="200" t="inlineStr">
        <is>
          <t>varsity tickets</t>
        </is>
      </c>
      <c r="D55" s="200" t="inlineStr">
        <is>
          <t>2026-05-15</t>
        </is>
      </c>
      <c r="E55" s="200" t="inlineStr">
        <is>
          <t>—</t>
        </is>
      </c>
      <c r="F55" s="200" t="inlineStr">
        <is>
          <t>Harish Bhat</t>
        </is>
      </c>
      <c r="G55" s="200" t="inlineStr">
        <is>
          <t>Online</t>
        </is>
      </c>
      <c r="H55" s="200" t="inlineStr">
        <is>
          <t>varsity tickets</t>
        </is>
      </c>
      <c r="I55" s="201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2026-05-18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199" t="n">
        <v>51</v>
      </c>
      <c r="B57" s="200" t="inlineStr">
        <is>
          <t>Other</t>
        </is>
      </c>
      <c r="C57" s="200" t="inlineStr">
        <is>
          <t>varsity tickets</t>
        </is>
      </c>
      <c r="D57" s="200" t="inlineStr">
        <is>
          <t>2026-05-19</t>
        </is>
      </c>
      <c r="E57" s="200" t="inlineStr">
        <is>
          <t>—</t>
        </is>
      </c>
      <c r="F57" s="200" t="inlineStr">
        <is>
          <t>Harish Bhat</t>
        </is>
      </c>
      <c r="G57" s="200" t="inlineStr">
        <is>
          <t>Online</t>
        </is>
      </c>
      <c r="H57" s="200" t="inlineStr">
        <is>
          <t>varsity tickets</t>
        </is>
      </c>
      <c r="I57" s="201" t="n">
        <v>0.25</v>
      </c>
    </row>
    <row r="58" ht="15.75" customHeight="1" s="156">
      <c r="A58" s="199" t="n">
        <v>52</v>
      </c>
      <c r="B58" s="200" t="inlineStr">
        <is>
          <t>Other</t>
        </is>
      </c>
      <c r="C58" s="200" t="inlineStr">
        <is>
          <t>varsity tickets</t>
        </is>
      </c>
      <c r="D58" s="200" t="inlineStr">
        <is>
          <t>2026-05-20</t>
        </is>
      </c>
      <c r="E58" s="200" t="inlineStr">
        <is>
          <t>—</t>
        </is>
      </c>
      <c r="F58" s="200" t="inlineStr">
        <is>
          <t>Harish Bhat</t>
        </is>
      </c>
      <c r="G58" s="200" t="inlineStr">
        <is>
          <t>Online</t>
        </is>
      </c>
      <c r="H58" s="200" t="inlineStr">
        <is>
          <t>varsity tickets</t>
        </is>
      </c>
      <c r="I58" s="201" t="n">
        <v>0.25</v>
      </c>
    </row>
    <row r="59" ht="15.75" customHeight="1" s="156">
      <c r="A59" s="199" t="n">
        <v>53</v>
      </c>
      <c r="B59" s="200" t="inlineStr">
        <is>
          <t>Other</t>
        </is>
      </c>
      <c r="C59" s="200" t="inlineStr">
        <is>
          <t>varsity tickets</t>
        </is>
      </c>
      <c r="D59" s="200" t="inlineStr">
        <is>
          <t>2026-05-21</t>
        </is>
      </c>
      <c r="E59" s="200" t="inlineStr">
        <is>
          <t>—</t>
        </is>
      </c>
      <c r="F59" s="200" t="inlineStr">
        <is>
          <t>Harish Bhat</t>
        </is>
      </c>
      <c r="G59" s="200" t="inlineStr">
        <is>
          <t>Online</t>
        </is>
      </c>
      <c r="H59" s="200" t="inlineStr">
        <is>
          <t>varsity tickets</t>
        </is>
      </c>
      <c r="I59" s="201" t="n">
        <v>0.25</v>
      </c>
    </row>
    <row r="60" ht="15.75" customHeight="1" s="156">
      <c r="A60" s="199" t="n">
        <v>54</v>
      </c>
      <c r="B60" s="200" t="inlineStr">
        <is>
          <t>Other</t>
        </is>
      </c>
      <c r="C60" s="200" t="inlineStr">
        <is>
          <t>varsity tickets</t>
        </is>
      </c>
      <c r="D60" s="200" t="inlineStr">
        <is>
          <t>2026-05-22</t>
        </is>
      </c>
      <c r="E60" s="200" t="inlineStr">
        <is>
          <t>—</t>
        </is>
      </c>
      <c r="F60" s="200" t="inlineStr">
        <is>
          <t>Harish Bhat</t>
        </is>
      </c>
      <c r="G60" s="200" t="inlineStr">
        <is>
          <t>Online</t>
        </is>
      </c>
      <c r="H60" s="200" t="inlineStr">
        <is>
          <t>varsity tickets</t>
        </is>
      </c>
      <c r="I60" s="201" t="n">
        <v>0.25</v>
      </c>
    </row>
    <row r="61" ht="15.75" customHeight="1" s="156">
      <c r="A61" s="199" t="n">
        <v>55</v>
      </c>
      <c r="B61" s="200" t="inlineStr">
        <is>
          <t>Other</t>
        </is>
      </c>
      <c r="C61" s="200" t="inlineStr">
        <is>
          <t>varsity tickets</t>
        </is>
      </c>
      <c r="D61" s="200" t="inlineStr">
        <is>
          <t>2026-05-27</t>
        </is>
      </c>
      <c r="E61" s="200" t="inlineStr">
        <is>
          <t>—</t>
        </is>
      </c>
      <c r="F61" s="200" t="inlineStr">
        <is>
          <t>Harish Bhat</t>
        </is>
      </c>
      <c r="G61" s="200" t="inlineStr">
        <is>
          <t>Online</t>
        </is>
      </c>
      <c r="H61" s="200" t="inlineStr">
        <is>
          <t>varsity tickets</t>
        </is>
      </c>
      <c r="I61" s="201" t="n">
        <v>0.25</v>
      </c>
    </row>
    <row r="62" ht="15.75" customHeight="1" s="156">
      <c r="A62" s="199" t="n">
        <v>56</v>
      </c>
      <c r="B62" s="200" t="inlineStr">
        <is>
          <t>Assessment</t>
        </is>
      </c>
      <c r="C62" s="200" t="inlineStr">
        <is>
          <t>Review on  mockcall</t>
        </is>
      </c>
      <c r="D62" s="200" t="inlineStr">
        <is>
          <t>2026-05-11</t>
        </is>
      </c>
      <c r="E62" s="200" t="inlineStr">
        <is>
          <t>—</t>
        </is>
      </c>
      <c r="F62" s="200" t="inlineStr">
        <is>
          <t>Harish Bhat</t>
        </is>
      </c>
      <c r="G62" s="200" t="inlineStr">
        <is>
          <t>Online</t>
        </is>
      </c>
      <c r="H62" s="200" t="inlineStr">
        <is>
          <t>Review on  mockcall</t>
        </is>
      </c>
      <c r="I62" s="201" t="n">
        <v>3</v>
      </c>
    </row>
    <row r="63" ht="15.75" customHeight="1" s="156">
      <c r="A63" s="199" t="n">
        <v>57</v>
      </c>
      <c r="B63" s="200" t="inlineStr">
        <is>
          <t>Support Training</t>
        </is>
      </c>
      <c r="C63" s="200" t="inlineStr">
        <is>
          <t>Review on mockcall ·  Harish</t>
        </is>
      </c>
      <c r="D63" s="200" t="inlineStr">
        <is>
          <t>2026-05-14</t>
        </is>
      </c>
      <c r="E63" s="200" t="inlineStr">
        <is>
          <t>—</t>
        </is>
      </c>
      <c r="F63" s="200" t="inlineStr">
        <is>
          <t>Harish Bhat</t>
        </is>
      </c>
      <c r="G63" s="200" t="inlineStr">
        <is>
          <t>Online</t>
        </is>
      </c>
      <c r="H63" s="200" t="inlineStr">
        <is>
          <t>Review on mockcall ·  Harish</t>
        </is>
      </c>
      <c r="I63" s="201" t="n">
        <v>2</v>
      </c>
    </row>
    <row r="64" ht="15.75" customHeight="1" s="156">
      <c r="A64" s="199" t="n">
        <v>58</v>
      </c>
      <c r="B64" s="200" t="inlineStr">
        <is>
          <t>Other</t>
        </is>
      </c>
      <c r="C64" s="200" t="inlineStr">
        <is>
          <t>Preperation for Session on Primary and Secondary transfer of securities and SOPs of Abusive calls</t>
        </is>
      </c>
      <c r="D64" s="200" t="inlineStr">
        <is>
          <t>2026-05-18</t>
        </is>
      </c>
      <c r="E64" s="200" t="inlineStr">
        <is>
          <t>—</t>
        </is>
      </c>
      <c r="F64" s="200" t="inlineStr">
        <is>
          <t>Harish Bhat</t>
        </is>
      </c>
      <c r="G64" s="200" t="inlineStr">
        <is>
          <t>Online</t>
        </is>
      </c>
      <c r="H64" s="200" t="inlineStr">
        <is>
          <t>Preperation for Session on Primary and Secondary transfer of securities and SOPs of Abusive calls</t>
        </is>
      </c>
      <c r="I64" s="201" t="n">
        <v>4</v>
      </c>
    </row>
    <row r="65" ht="15.75" customHeight="1" s="156">
      <c r="A65" s="199" t="n">
        <v>59</v>
      </c>
      <c r="B65" s="200" t="inlineStr">
        <is>
          <t>Other</t>
        </is>
      </c>
      <c r="C65" s="200" t="inlineStr">
        <is>
          <t>lms tool testing</t>
        </is>
      </c>
      <c r="D65" s="200" t="inlineStr">
        <is>
          <t>2026-05-27</t>
        </is>
      </c>
      <c r="E65" s="200" t="inlineStr">
        <is>
          <t>—</t>
        </is>
      </c>
      <c r="F65" s="200" t="inlineStr">
        <is>
          <t>Harish Bhat</t>
        </is>
      </c>
      <c r="G65" s="200" t="inlineStr">
        <is>
          <t>Online</t>
        </is>
      </c>
      <c r="H65" s="200" t="inlineStr">
        <is>
          <t>lms tool testing</t>
        </is>
      </c>
      <c r="I65" s="201" t="n">
        <v>5</v>
      </c>
    </row>
    <row r="66" ht="15.75" customHeight="1" s="156">
      <c r="A66" s="202" t="n">
        <v>60</v>
      </c>
      <c r="B66" s="203" t="inlineStr">
        <is>
          <t>Other</t>
        </is>
      </c>
      <c r="C66" s="203" t="inlineStr">
        <is>
          <t>Managers training discussion &amp; PPT</t>
        </is>
      </c>
      <c r="D66" s="203" t="inlineStr">
        <is>
          <t>2026-05-13</t>
        </is>
      </c>
      <c r="E66" s="203" t="inlineStr">
        <is>
          <t>—</t>
        </is>
      </c>
      <c r="F66" s="203" t="inlineStr">
        <is>
          <t>Harish Bhat</t>
        </is>
      </c>
      <c r="G66" s="203" t="inlineStr">
        <is>
          <t>Offline</t>
        </is>
      </c>
      <c r="H66" s="203" t="inlineStr">
        <is>
          <t>Managers training discussion &amp; PPT</t>
        </is>
      </c>
      <c r="I66" s="204" t="n">
        <v>2</v>
      </c>
    </row>
    <row r="67" ht="15.75" customHeight="1" s="156">
      <c r="A67" s="202" t="n">
        <v>61</v>
      </c>
      <c r="B67" s="203" t="inlineStr">
        <is>
          <t>Other</t>
        </is>
      </c>
      <c r="C67" s="203" t="inlineStr">
        <is>
          <t>Managers training discussion &amp; PPT</t>
        </is>
      </c>
      <c r="D67" s="203" t="inlineStr">
        <is>
          <t>2026-05-12</t>
        </is>
      </c>
      <c r="E67" s="203" t="inlineStr">
        <is>
          <t>—</t>
        </is>
      </c>
      <c r="F67" s="203" t="inlineStr">
        <is>
          <t>Harish Bhat</t>
        </is>
      </c>
      <c r="G67" s="203" t="inlineStr">
        <is>
          <t>Offline</t>
        </is>
      </c>
      <c r="H67" s="203" t="inlineStr">
        <is>
          <t>Managers training discussion &amp; PPT</t>
        </is>
      </c>
      <c r="I67" s="204" t="n">
        <v>3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Managers training discussion &amp; PPT  &amp; tool integration</t>
        </is>
      </c>
      <c r="D68" s="203" t="inlineStr">
        <is>
          <t>2026-05-14</t>
        </is>
      </c>
      <c r="E68" s="203" t="inlineStr">
        <is>
          <t>—</t>
        </is>
      </c>
      <c r="F68" s="203" t="inlineStr">
        <is>
          <t>Harish Bhat</t>
        </is>
      </c>
      <c r="G68" s="203" t="inlineStr">
        <is>
          <t>Offline</t>
        </is>
      </c>
      <c r="H68" s="203" t="inlineStr">
        <is>
          <t>Managers training discussion &amp; PPT  &amp; tool integration</t>
        </is>
      </c>
      <c r="I68" s="204" t="n">
        <v>2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Review on Pick &amp; Speak &amp; mockcall</t>
        </is>
      </c>
      <c r="D69" s="200" t="inlineStr">
        <is>
          <t>2026-05-07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Review on Pick &amp; Speak &amp; mockcall</t>
        </is>
      </c>
      <c r="I69" s="201" t="n">
        <v>2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Review on Pick &amp; Speak &amp; mockcall</t>
        </is>
      </c>
      <c r="D70" s="200" t="inlineStr">
        <is>
          <t>2026-05-08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Review on Pick &amp; Speak &amp; mockcall</t>
        </is>
      </c>
      <c r="I70" s="201" t="n">
        <v>2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Review on Pick &amp; Speak &amp; mockcall</t>
        </is>
      </c>
      <c r="D71" s="200" t="inlineStr">
        <is>
          <t>2026-05-11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Review on Pick &amp; Speak &amp; mockcall</t>
        </is>
      </c>
      <c r="I71" s="201" t="n">
        <v>3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Communicate 360- Anish's team · proctoring</t>
        </is>
      </c>
      <c r="D72" s="200" t="inlineStr">
        <is>
          <t>2026-05-14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Communicate 360- Anish's team · proctoring</t>
        </is>
      </c>
      <c r="I72" s="201" t="n">
        <v>3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Trainer Dashboard</t>
        </is>
      </c>
      <c r="D73" s="200" t="inlineStr">
        <is>
          <t>2026-05-15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Trainer Dashboard</t>
        </is>
      </c>
      <c r="I73" s="201" t="n">
        <v>3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Trainer Dahboard</t>
        </is>
      </c>
      <c r="D74" s="200" t="inlineStr">
        <is>
          <t>2026-05-18</t>
        </is>
      </c>
      <c r="E74" s="200" t="inlineStr">
        <is>
          <t>—</t>
        </is>
      </c>
      <c r="F74" s="200" t="inlineStr">
        <is>
          <t>Girish A</t>
        </is>
      </c>
      <c r="G74" s="200" t="inlineStr">
        <is>
          <t>Online</t>
        </is>
      </c>
      <c r="H74" s="200" t="inlineStr">
        <is>
          <t>Trainer Dahboard</t>
        </is>
      </c>
      <c r="I74" s="201" t="n">
        <v>3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Session on Primary and Secondary transfer of securities and SOPs of Abusive calls</t>
        </is>
      </c>
      <c r="D75" s="200" t="inlineStr">
        <is>
          <t>2026-05-20</t>
        </is>
      </c>
      <c r="E75" s="200" t="inlineStr">
        <is>
          <t>—</t>
        </is>
      </c>
      <c r="F75" s="200" t="inlineStr">
        <is>
          <t>Girish A</t>
        </is>
      </c>
      <c r="G75" s="200" t="inlineStr">
        <is>
          <t>Online</t>
        </is>
      </c>
      <c r="H75" s="200" t="inlineStr">
        <is>
          <t>Session on Primary and Secondary transfer of securities and SOPs of Abusive calls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Support Training</t>
        </is>
      </c>
      <c r="C76" s="200" t="inlineStr">
        <is>
          <t>Trainer Dashboard</t>
        </is>
      </c>
      <c r="D76" s="200" t="inlineStr">
        <is>
          <t>2026-05-26</t>
        </is>
      </c>
      <c r="E76" s="200" t="inlineStr">
        <is>
          <t>—</t>
        </is>
      </c>
      <c r="F76" s="200" t="inlineStr">
        <is>
          <t>Girish A</t>
        </is>
      </c>
      <c r="G76" s="200" t="inlineStr">
        <is>
          <t>Online</t>
        </is>
      </c>
      <c r="H76" s="200" t="inlineStr">
        <is>
          <t>Trainer Dashboard</t>
        </is>
      </c>
      <c r="I76" s="201" t="n">
        <v>3</v>
      </c>
    </row>
    <row r="77" ht="15.75" customHeight="1" s="156">
      <c r="A77" s="202" t="n">
        <v>71</v>
      </c>
      <c r="B77" s="203" t="inlineStr">
        <is>
          <t>Support Training</t>
        </is>
      </c>
      <c r="C77" s="203" t="inlineStr">
        <is>
          <t>Communicate 360- Anish's team · proctoring</t>
        </is>
      </c>
      <c r="D77" s="203" t="inlineStr">
        <is>
          <t>2026-05-11</t>
        </is>
      </c>
      <c r="E77" s="203" t="inlineStr">
        <is>
          <t>—</t>
        </is>
      </c>
      <c r="F77" s="203" t="inlineStr">
        <is>
          <t>Girish A</t>
        </is>
      </c>
      <c r="G77" s="203" t="inlineStr">
        <is>
          <t>Offline</t>
        </is>
      </c>
      <c r="H77" s="203" t="inlineStr">
        <is>
          <t>Communicate 360- Anish's team · proctoring</t>
        </is>
      </c>
      <c r="I77" s="204" t="n">
        <v>3</v>
      </c>
    </row>
    <row r="78" ht="15.75" customHeight="1" s="156">
      <c r="A78" s="202" t="n">
        <v>72</v>
      </c>
      <c r="B78" s="203" t="inlineStr">
        <is>
          <t>Support Training</t>
        </is>
      </c>
      <c r="C78" s="203" t="inlineStr">
        <is>
          <t>Communicate 360- Anish's team · proctoring</t>
        </is>
      </c>
      <c r="D78" s="203" t="inlineStr">
        <is>
          <t>2026-05-12</t>
        </is>
      </c>
      <c r="E78" s="203" t="inlineStr">
        <is>
          <t>—</t>
        </is>
      </c>
      <c r="F78" s="203" t="inlineStr">
        <is>
          <t>Girish A</t>
        </is>
      </c>
      <c r="G78" s="203" t="inlineStr">
        <is>
          <t>Offline</t>
        </is>
      </c>
      <c r="H78" s="203" t="inlineStr">
        <is>
          <t>Communicate 360- Anish's team · proctoring</t>
        </is>
      </c>
      <c r="I78" s="204" t="n">
        <v>1.5</v>
      </c>
    </row>
    <row r="79" ht="15.75" customHeight="1" s="156">
      <c r="A79" s="202" t="n">
        <v>73</v>
      </c>
      <c r="B79" s="203" t="inlineStr">
        <is>
          <t>Support Training</t>
        </is>
      </c>
      <c r="C79" s="203" t="inlineStr">
        <is>
          <t>Managers training discussion</t>
        </is>
      </c>
      <c r="D79" s="203" t="inlineStr">
        <is>
          <t>2026-05-12</t>
        </is>
      </c>
      <c r="E79" s="203" t="inlineStr">
        <is>
          <t>—</t>
        </is>
      </c>
      <c r="F79" s="203" t="inlineStr">
        <is>
          <t>Girish A</t>
        </is>
      </c>
      <c r="G79" s="203" t="inlineStr">
        <is>
          <t>Offline</t>
        </is>
      </c>
      <c r="H79" s="203" t="inlineStr">
        <is>
          <t>Managers training discussion</t>
        </is>
      </c>
      <c r="I79" s="204" t="n">
        <v>3</v>
      </c>
    </row>
    <row r="80" ht="15.75" customHeight="1" s="156">
      <c r="A80" s="202" t="n">
        <v>74</v>
      </c>
      <c r="B80" s="203" t="inlineStr">
        <is>
          <t>Support Training</t>
        </is>
      </c>
      <c r="C80" s="203" t="inlineStr">
        <is>
          <t>Communicate 360- Anish's team · proctoring ·</t>
        </is>
      </c>
      <c r="D80" s="203" t="inlineStr">
        <is>
          <t>2026-05-13</t>
        </is>
      </c>
      <c r="E80" s="203" t="inlineStr">
        <is>
          <t>—</t>
        </is>
      </c>
      <c r="F80" s="203" t="inlineStr">
        <is>
          <t>Girish A</t>
        </is>
      </c>
      <c r="G80" s="203" t="inlineStr">
        <is>
          <t>Offline</t>
        </is>
      </c>
      <c r="H80" s="203" t="inlineStr">
        <is>
          <t>Communicate 360- Anish's team · proctoring ·</t>
        </is>
      </c>
      <c r="I80" s="204" t="n">
        <v>3</v>
      </c>
    </row>
    <row r="81" ht="15.75" customHeight="1" s="156">
      <c r="A81" s="202" t="n">
        <v>75</v>
      </c>
      <c r="B81" s="203" t="inlineStr">
        <is>
          <t>Support Training</t>
        </is>
      </c>
      <c r="C81" s="203" t="inlineStr">
        <is>
          <t>Managers training discussion</t>
        </is>
      </c>
      <c r="D81" s="203" t="inlineStr">
        <is>
          <t>2026-05-13</t>
        </is>
      </c>
      <c r="E81" s="203" t="inlineStr">
        <is>
          <t>—</t>
        </is>
      </c>
      <c r="F81" s="203" t="inlineStr">
        <is>
          <t>Girish A</t>
        </is>
      </c>
      <c r="G81" s="203" t="inlineStr">
        <is>
          <t>Offline</t>
        </is>
      </c>
      <c r="H81" s="203" t="inlineStr">
        <is>
          <t>Managers training discussion</t>
        </is>
      </c>
      <c r="I81" s="204" t="n">
        <v>2</v>
      </c>
    </row>
    <row r="82" ht="15.75" customHeight="1" s="156">
      <c r="A82" s="202" t="n">
        <v>76</v>
      </c>
      <c r="B82" s="203" t="inlineStr">
        <is>
          <t>Support Training</t>
        </is>
      </c>
      <c r="C82" s="203" t="inlineStr">
        <is>
          <t>Manager Assessments integration</t>
        </is>
      </c>
      <c r="D82" s="203" t="inlineStr">
        <is>
          <t>2026-05-14</t>
        </is>
      </c>
      <c r="E82" s="203" t="inlineStr">
        <is>
          <t>—</t>
        </is>
      </c>
      <c r="F82" s="203" t="inlineStr">
        <is>
          <t>Girish A</t>
        </is>
      </c>
      <c r="G82" s="203" t="inlineStr">
        <is>
          <t>Offline</t>
        </is>
      </c>
      <c r="H82" s="203" t="inlineStr">
        <is>
          <t>Manager Assessments integration</t>
        </is>
      </c>
      <c r="I82" s="204" t="n">
        <v>3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Preperation for Session on Primary and Secondary transfer of securities and SOPs of Abusive calls</t>
        </is>
      </c>
      <c r="D83" s="200" t="inlineStr">
        <is>
          <t>2026-05-18</t>
        </is>
      </c>
      <c r="E83" s="200" t="inlineStr">
        <is>
          <t>—</t>
        </is>
      </c>
      <c r="F83" s="200" t="inlineStr">
        <is>
          <t>Girish A</t>
        </is>
      </c>
      <c r="G83" s="200" t="inlineStr">
        <is>
          <t>Online</t>
        </is>
      </c>
      <c r="H83" s="200" t="inlineStr">
        <is>
          <t>Preperation for Session on Primary and Secondary transfer of securities and SOPs of Abusive calls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Preperation for Session on Primary and Secondary transfer of securities and SOPs of Abusive calls</t>
        </is>
      </c>
      <c r="D84" s="200" t="inlineStr">
        <is>
          <t>2026-05-19</t>
        </is>
      </c>
      <c r="E84" s="200" t="inlineStr">
        <is>
          <t>—</t>
        </is>
      </c>
      <c r="F84" s="200" t="inlineStr">
        <is>
          <t>Girish A</t>
        </is>
      </c>
      <c r="G84" s="200" t="inlineStr">
        <is>
          <t>Online</t>
        </is>
      </c>
      <c r="H84" s="200" t="inlineStr">
        <is>
          <t>Preperation for Session on Primary and Secondary transfer of securities and SOPs of Abusive calls</t>
        </is>
      </c>
      <c r="I84" s="201" t="n">
        <v>6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NRI training preparations</t>
        </is>
      </c>
      <c r="D85" s="200" t="inlineStr">
        <is>
          <t>2026-05-26</t>
        </is>
      </c>
      <c r="E85" s="200" t="inlineStr">
        <is>
          <t>—</t>
        </is>
      </c>
      <c r="F85" s="200" t="inlineStr">
        <is>
          <t>Girish A</t>
        </is>
      </c>
      <c r="G85" s="200" t="inlineStr">
        <is>
          <t>Online</t>
        </is>
      </c>
      <c r="H85" s="200" t="inlineStr">
        <is>
          <t>NRI training preparations</t>
        </is>
      </c>
      <c r="I85" s="201" t="n">
        <v>2</v>
      </c>
    </row>
    <row r="86" ht="15.75" customHeight="1" s="156">
      <c r="A86" s="202" t="n">
        <v>80</v>
      </c>
      <c r="B86" s="203" t="inlineStr">
        <is>
          <t>Other</t>
        </is>
      </c>
      <c r="C86" s="203" t="inlineStr">
        <is>
          <t>NRI training preparations</t>
        </is>
      </c>
      <c r="D86" s="203" t="inlineStr">
        <is>
          <t>2026-05-27</t>
        </is>
      </c>
      <c r="E86" s="203" t="inlineStr">
        <is>
          <t>—</t>
        </is>
      </c>
      <c r="F86" s="203" t="inlineStr">
        <is>
          <t>Girish A</t>
        </is>
      </c>
      <c r="G86" s="203" t="inlineStr">
        <is>
          <t>Offline</t>
        </is>
      </c>
      <c r="H86" s="203" t="inlineStr">
        <is>
          <t>NRI training preparations</t>
        </is>
      </c>
      <c r="I86" s="204" t="n">
        <v>2</v>
      </c>
    </row>
    <row r="87" ht="15.75" customHeight="1" s="156">
      <c r="A87" s="202" t="n">
        <v>81</v>
      </c>
      <c r="B87" s="203" t="inlineStr">
        <is>
          <t>Other</t>
        </is>
      </c>
      <c r="C87" s="203" t="inlineStr">
        <is>
          <t>NRI training preparations</t>
        </is>
      </c>
      <c r="D87" s="203" t="inlineStr">
        <is>
          <t>2026-05-29</t>
        </is>
      </c>
      <c r="E87" s="203" t="inlineStr">
        <is>
          <t>—</t>
        </is>
      </c>
      <c r="F87" s="203" t="inlineStr">
        <is>
          <t>Girish A</t>
        </is>
      </c>
      <c r="G87" s="203" t="inlineStr">
        <is>
          <t>Offline</t>
        </is>
      </c>
      <c r="H87" s="203" t="inlineStr">
        <is>
          <t>NRI training preparations</t>
        </is>
      </c>
      <c r="I87" s="204" t="n">
        <v>4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Anish's team report sending</t>
        </is>
      </c>
      <c r="D88" s="200" t="inlineStr">
        <is>
          <t>2026-05-29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Anish's team report sending</t>
        </is>
      </c>
      <c r="I88" s="201" t="n">
        <v>2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Recruitment paper preparation</t>
        </is>
      </c>
      <c r="D89" s="200" t="inlineStr">
        <is>
          <t>2026-05-21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Recruitment paper preparation</t>
        </is>
      </c>
      <c r="I89" s="201" t="n">
        <v>2</v>
      </c>
    </row>
    <row r="90" ht="15.75" customHeight="1" s="156">
      <c r="A90" s="202" t="n">
        <v>84</v>
      </c>
      <c r="B90" s="203" t="inlineStr">
        <is>
          <t>Support Training</t>
        </is>
      </c>
      <c r="C90" s="203" t="inlineStr">
        <is>
          <t>Communicate 360- Anish's team proctoring</t>
        </is>
      </c>
      <c r="D90" s="203" t="inlineStr">
        <is>
          <t>2026-05-06</t>
        </is>
      </c>
      <c r="E90" s="203" t="inlineStr">
        <is>
          <t>—</t>
        </is>
      </c>
      <c r="F90" s="203" t="inlineStr">
        <is>
          <t>Girish A</t>
        </is>
      </c>
      <c r="G90" s="203" t="inlineStr">
        <is>
          <t>Offline</t>
        </is>
      </c>
      <c r="H90" s="203" t="inlineStr">
        <is>
          <t>Communicate 360- Anish's team proctoring</t>
        </is>
      </c>
      <c r="I90" s="204" t="n">
        <v>2</v>
      </c>
    </row>
    <row r="91" ht="15.75" customHeight="1" s="156">
      <c r="A91" s="202" t="n">
        <v>85</v>
      </c>
      <c r="B91" s="203" t="inlineStr">
        <is>
          <t>Support Training</t>
        </is>
      </c>
      <c r="C91" s="203" t="inlineStr">
        <is>
          <t>Communicate 360- Anish's team</t>
        </is>
      </c>
      <c r="D91" s="203" t="inlineStr">
        <is>
          <t>2026-05-05</t>
        </is>
      </c>
      <c r="E91" s="203" t="inlineStr">
        <is>
          <t>—</t>
        </is>
      </c>
      <c r="F91" s="203" t="inlineStr">
        <is>
          <t>Girish A</t>
        </is>
      </c>
      <c r="G91" s="203" t="inlineStr">
        <is>
          <t>Offline</t>
        </is>
      </c>
      <c r="H91" s="203" t="inlineStr">
        <is>
          <t>Communicate 360- Anish's team</t>
        </is>
      </c>
      <c r="I91" s="204" t="n">
        <v>2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training preparations</t>
        </is>
      </c>
      <c r="D92" s="200" t="inlineStr">
        <is>
          <t>2026-05-25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training preparations</t>
        </is>
      </c>
      <c r="I92" s="201" t="n">
        <v>2</v>
      </c>
    </row>
    <row r="93" ht="15.75" customHeight="1" s="156">
      <c r="A93" s="202" t="n">
        <v>87</v>
      </c>
      <c r="B93" s="203" t="inlineStr">
        <is>
          <t>Support Training</t>
        </is>
      </c>
      <c r="C93" s="203" t="inlineStr">
        <is>
          <t>Communicate 360- Anish's team · proctoring</t>
        </is>
      </c>
      <c r="D93" s="203" t="inlineStr">
        <is>
          <t>2026-05-04</t>
        </is>
      </c>
      <c r="E93" s="203" t="inlineStr">
        <is>
          <t>—</t>
        </is>
      </c>
      <c r="F93" s="203" t="inlineStr">
        <is>
          <t>Girish A</t>
        </is>
      </c>
      <c r="G93" s="203" t="inlineStr">
        <is>
          <t>Offline</t>
        </is>
      </c>
      <c r="H93" s="203" t="inlineStr">
        <is>
          <t>Communicate 360- Anish's team · proctoring</t>
        </is>
      </c>
      <c r="I93" s="204" t="n">
        <v>3</v>
      </c>
    </row>
    <row r="94" ht="15.75" customHeight="1" s="156">
      <c r="A94" s="202" t="n">
        <v>88</v>
      </c>
      <c r="B94" s="203" t="inlineStr">
        <is>
          <t>Support Training</t>
        </is>
      </c>
      <c r="C94" s="203" t="inlineStr">
        <is>
          <t>Communicate 360- Renu's team</t>
        </is>
      </c>
      <c r="D94" s="203" t="inlineStr">
        <is>
          <t>2026-05-11</t>
        </is>
      </c>
      <c r="E94" s="203" t="inlineStr">
        <is>
          <t>—</t>
        </is>
      </c>
      <c r="F94" s="203" t="inlineStr">
        <is>
          <t>Freeda Reshma Dsouza</t>
        </is>
      </c>
      <c r="G94" s="203" t="inlineStr">
        <is>
          <t>Offline</t>
        </is>
      </c>
      <c r="H94" s="203" t="inlineStr">
        <is>
          <t>Communicate 360- Renu's team</t>
        </is>
      </c>
      <c r="I94" s="204" t="n">
        <v>5</v>
      </c>
    </row>
    <row r="95" ht="15.75" customHeight="1" s="156">
      <c r="A95" s="202" t="n">
        <v>89</v>
      </c>
      <c r="B95" s="203" t="inlineStr">
        <is>
          <t>Support Training</t>
        </is>
      </c>
      <c r="C95" s="203" t="inlineStr">
        <is>
          <t>Communicate 360- Renu's team</t>
        </is>
      </c>
      <c r="D95" s="203" t="inlineStr">
        <is>
          <t>2026-05-12</t>
        </is>
      </c>
      <c r="E95" s="203" t="inlineStr">
        <is>
          <t>—</t>
        </is>
      </c>
      <c r="F95" s="203" t="inlineStr">
        <is>
          <t>Freeda Reshma Dsouza</t>
        </is>
      </c>
      <c r="G95" s="203" t="inlineStr">
        <is>
          <t>Offline</t>
        </is>
      </c>
      <c r="H95" s="203" t="inlineStr">
        <is>
          <t>Communicate 360- Renu's team</t>
        </is>
      </c>
      <c r="I95" s="204" t="n">
        <v>5</v>
      </c>
    </row>
    <row r="96" ht="15.75" customHeight="1" s="156">
      <c r="A96" s="202" t="n">
        <v>90</v>
      </c>
      <c r="B96" s="203" t="inlineStr">
        <is>
          <t>Support Training</t>
        </is>
      </c>
      <c r="C96" s="203" t="inlineStr">
        <is>
          <t>Communicate 360- Renu's team</t>
        </is>
      </c>
      <c r="D96" s="203" t="inlineStr">
        <is>
          <t>2026-05-14</t>
        </is>
      </c>
      <c r="E96" s="203" t="inlineStr">
        <is>
          <t>—</t>
        </is>
      </c>
      <c r="F96" s="203" t="inlineStr">
        <is>
          <t>Freeda Reshma Dsouza</t>
        </is>
      </c>
      <c r="G96" s="203" t="inlineStr">
        <is>
          <t>Offline</t>
        </is>
      </c>
      <c r="H96" s="203" t="inlineStr">
        <is>
          <t>Communicate 360- Renu's team</t>
        </is>
      </c>
      <c r="I96" s="204" t="n">
        <v>5</v>
      </c>
    </row>
    <row r="97" ht="15.75" customHeight="1" s="156">
      <c r="A97" s="202" t="n">
        <v>91</v>
      </c>
      <c r="B97" s="203" t="inlineStr">
        <is>
          <t>Support Training</t>
        </is>
      </c>
      <c r="C97" s="203" t="inlineStr">
        <is>
          <t>Communicate 360- Renu's team</t>
        </is>
      </c>
      <c r="D97" s="203" t="inlineStr">
        <is>
          <t>2026-05-13</t>
        </is>
      </c>
      <c r="E97" s="203" t="inlineStr">
        <is>
          <t>—</t>
        </is>
      </c>
      <c r="F97" s="203" t="inlineStr">
        <is>
          <t>Freeda Reshma Dsouza</t>
        </is>
      </c>
      <c r="G97" s="203" t="inlineStr">
        <is>
          <t>Offline</t>
        </is>
      </c>
      <c r="H97" s="203" t="inlineStr">
        <is>
          <t>Communicate 360- Renu's team</t>
        </is>
      </c>
      <c r="I97" s="204" t="n">
        <v>5</v>
      </c>
    </row>
    <row r="98" ht="15.75" customHeight="1" s="156">
      <c r="A98" s="199" t="n">
        <v>92</v>
      </c>
      <c r="B98" s="200" t="inlineStr">
        <is>
          <t>Other</t>
        </is>
      </c>
      <c r="C98" s="200" t="inlineStr">
        <is>
          <t>Review on Pick &amp; Speak</t>
        </is>
      </c>
      <c r="D98" s="200" t="inlineStr">
        <is>
          <t>2026-05-27</t>
        </is>
      </c>
      <c r="E98" s="200" t="inlineStr">
        <is>
          <t>—</t>
        </is>
      </c>
      <c r="F98" s="200" t="inlineStr">
        <is>
          <t>Freeda Reshma Dsouza</t>
        </is>
      </c>
      <c r="G98" s="200" t="inlineStr">
        <is>
          <t>Online</t>
        </is>
      </c>
      <c r="H98" s="200" t="inlineStr">
        <is>
          <t>Review on Pick &amp; Speak</t>
        </is>
      </c>
      <c r="I98" s="201" t="n">
        <v>3</v>
      </c>
    </row>
    <row r="99" ht="15.75" customHeight="1" s="156">
      <c r="A99" s="205" t="inlineStr">
        <is>
          <t>TOTAL MAN HOURS THIS MONTH</t>
        </is>
      </c>
      <c r="B99" s="205" t="n"/>
      <c r="C99" s="205" t="n"/>
      <c r="D99" s="205" t="n"/>
      <c r="E99" s="205" t="n"/>
      <c r="F99" s="205" t="n"/>
      <c r="G99" s="205" t="n"/>
      <c r="H99" s="205" t="n"/>
      <c r="I99" s="206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4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Other</t>
        </is>
      </c>
      <c r="C7" s="200" t="inlineStr">
        <is>
          <t>QOD preparations</t>
        </is>
      </c>
      <c r="D7" s="200" t="inlineStr">
        <is>
          <t>2026-06-01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QOD preparations</t>
        </is>
      </c>
      <c r="I7" s="201" t="n">
        <v>1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Communicate 360- Renu's team</t>
        </is>
      </c>
      <c r="D8" s="203" t="inlineStr">
        <is>
          <t>2026-06-02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Communicate 360- Renu's team</t>
        </is>
      </c>
      <c r="I8" s="204" t="n">
        <v>5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Communicate 360- Renu's team</t>
        </is>
      </c>
      <c r="D9" s="203" t="inlineStr">
        <is>
          <t>2026-06-03</t>
        </is>
      </c>
      <c r="E9" s="203" t="inlineStr">
        <is>
          <t>—</t>
        </is>
      </c>
      <c r="F9" s="203" t="inlineStr">
        <is>
          <t>Freeda Reshma Dsouza</t>
        </is>
      </c>
      <c r="G9" s="203" t="inlineStr">
        <is>
          <t>Offline</t>
        </is>
      </c>
      <c r="H9" s="203" t="inlineStr">
        <is>
          <t>Communicate 360- Renu's team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Communicate 360- Renu's team</t>
        </is>
      </c>
      <c r="D10" s="203" t="inlineStr">
        <is>
          <t>2026-06-04</t>
        </is>
      </c>
      <c r="E10" s="203" t="inlineStr">
        <is>
          <t>—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Communicate 360- Renu's team</t>
        </is>
      </c>
      <c r="I10" s="204" t="n">
        <v>5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Review on Pick &amp; Speak</t>
        </is>
      </c>
      <c r="D11" s="200" t="inlineStr">
        <is>
          <t>2026-06-05</t>
        </is>
      </c>
      <c r="E11" s="200" t="inlineStr">
        <is>
          <t>—</t>
        </is>
      </c>
      <c r="F11" s="200" t="inlineStr">
        <is>
          <t>Freeda Reshma Dsouza</t>
        </is>
      </c>
      <c r="G11" s="200" t="inlineStr">
        <is>
          <t>Online</t>
        </is>
      </c>
      <c r="H11" s="200" t="inlineStr">
        <is>
          <t>Review on Pick &amp; Speak</t>
        </is>
      </c>
      <c r="I11" s="201" t="n">
        <v>5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Communicate 360- Renu's team</t>
        </is>
      </c>
      <c r="D12" s="200" t="inlineStr">
        <is>
          <t>2026-06-01</t>
        </is>
      </c>
      <c r="E12" s="200" t="inlineStr">
        <is>
          <t>—</t>
        </is>
      </c>
      <c r="F12" s="200" t="inlineStr">
        <is>
          <t>Freeda Reshma Dsouza</t>
        </is>
      </c>
      <c r="G12" s="200" t="inlineStr">
        <is>
          <t>Online</t>
        </is>
      </c>
      <c r="H12" s="200" t="inlineStr">
        <is>
          <t>Communicate 360- Renu's team</t>
        </is>
      </c>
      <c r="I12" s="201" t="n">
        <v>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Communicate 360- Renu's team</t>
        </is>
      </c>
      <c r="D13" s="200" t="inlineStr">
        <is>
          <t>2026-06-08</t>
        </is>
      </c>
      <c r="E13" s="200" t="inlineStr">
        <is>
          <t>—</t>
        </is>
      </c>
      <c r="F13" s="200" t="inlineStr">
        <is>
          <t>Freeda Reshma Dsouza</t>
        </is>
      </c>
      <c r="G13" s="200" t="inlineStr">
        <is>
          <t>Online</t>
        </is>
      </c>
      <c r="H13" s="200" t="inlineStr">
        <is>
          <t>Communicate 360- Renu's team</t>
        </is>
      </c>
      <c r="I13" s="201" t="n">
        <v>2.5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Communicate 360- Renu's team proctoring</t>
        </is>
      </c>
      <c r="D14" s="200" t="inlineStr">
        <is>
          <t>2026-06-01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Communicate 360- Renu's team proctoring</t>
        </is>
      </c>
      <c r="I14" s="201" t="n">
        <v>2</v>
      </c>
    </row>
    <row r="15" ht="21.75" customHeight="1" s="156">
      <c r="A15" s="202" t="n">
        <v>9</v>
      </c>
      <c r="B15" s="203" t="inlineStr">
        <is>
          <t>Support Training</t>
        </is>
      </c>
      <c r="C15" s="203" t="inlineStr">
        <is>
          <t>NRI Sales and Acop Training session</t>
        </is>
      </c>
      <c r="D15" s="203" t="inlineStr">
        <is>
          <t>2026-06-02</t>
        </is>
      </c>
      <c r="E15" s="203" t="inlineStr">
        <is>
          <t>—</t>
        </is>
      </c>
      <c r="F15" s="203" t="inlineStr">
        <is>
          <t>Girish A</t>
        </is>
      </c>
      <c r="G15" s="203" t="inlineStr">
        <is>
          <t>Offline</t>
        </is>
      </c>
      <c r="H15" s="203" t="inlineStr">
        <is>
          <t>NRI Sales and Acop Training session</t>
        </is>
      </c>
      <c r="I15" s="204" t="n">
        <v>6.5</v>
      </c>
    </row>
    <row r="16" ht="21.75" customHeight="1" s="156">
      <c r="A16" s="202" t="n">
        <v>10</v>
      </c>
      <c r="B16" s="203" t="inlineStr">
        <is>
          <t>Support Training</t>
        </is>
      </c>
      <c r="C16" s="203" t="inlineStr">
        <is>
          <t>NRI Sales and Acop Training session</t>
        </is>
      </c>
      <c r="D16" s="203" t="inlineStr">
        <is>
          <t>2026-06-03</t>
        </is>
      </c>
      <c r="E16" s="203" t="inlineStr">
        <is>
          <t>—</t>
        </is>
      </c>
      <c r="F16" s="203" t="inlineStr">
        <is>
          <t>Girish A</t>
        </is>
      </c>
      <c r="G16" s="203" t="inlineStr">
        <is>
          <t>Offline</t>
        </is>
      </c>
      <c r="H16" s="203" t="inlineStr">
        <is>
          <t>NRI Sales and Acop Training session</t>
        </is>
      </c>
      <c r="I16" s="204" t="n">
        <v>6.5</v>
      </c>
    </row>
    <row r="17" ht="21.75" customHeight="1" s="156">
      <c r="A17" s="202" t="n">
        <v>11</v>
      </c>
      <c r="B17" s="203" t="inlineStr">
        <is>
          <t>Support Training</t>
        </is>
      </c>
      <c r="C17" s="203" t="inlineStr">
        <is>
          <t>NRI Sales and Acop Training session</t>
        </is>
      </c>
      <c r="D17" s="203" t="inlineStr">
        <is>
          <t>2026-06-04</t>
        </is>
      </c>
      <c r="E17" s="203" t="inlineStr">
        <is>
          <t>—</t>
        </is>
      </c>
      <c r="F17" s="203" t="inlineStr">
        <is>
          <t>Girish A</t>
        </is>
      </c>
      <c r="G17" s="203" t="inlineStr">
        <is>
          <t>Offline</t>
        </is>
      </c>
      <c r="H17" s="203" t="inlineStr">
        <is>
          <t>NRI Sales and Acop Training session</t>
        </is>
      </c>
      <c r="I17" s="204" t="n">
        <v>6.5</v>
      </c>
    </row>
    <row r="18" ht="21.75" customHeight="1" s="156">
      <c r="A18" s="202" t="n">
        <v>12</v>
      </c>
      <c r="B18" s="203" t="inlineStr">
        <is>
          <t>Support Training</t>
        </is>
      </c>
      <c r="C18" s="203" t="inlineStr">
        <is>
          <t>NRI Sales and Acop Training session</t>
        </is>
      </c>
      <c r="D18" s="203" t="inlineStr">
        <is>
          <t>2026-06-05</t>
        </is>
      </c>
      <c r="E18" s="203" t="inlineStr">
        <is>
          <t>—</t>
        </is>
      </c>
      <c r="F18" s="203" t="inlineStr">
        <is>
          <t>Girish A</t>
        </is>
      </c>
      <c r="G18" s="203" t="inlineStr">
        <is>
          <t>Offline</t>
        </is>
      </c>
      <c r="H18" s="203" t="inlineStr">
        <is>
          <t>NRI Sales and Acop Training session</t>
        </is>
      </c>
      <c r="I18" s="204" t="n">
        <v>6.5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NRI Sales and Acop Training session</t>
        </is>
      </c>
      <c r="D19" s="203" t="inlineStr">
        <is>
          <t>2026-06-08</t>
        </is>
      </c>
      <c r="E19" s="203" t="inlineStr">
        <is>
          <t>—</t>
        </is>
      </c>
      <c r="F19" s="203" t="inlineStr">
        <is>
          <t>Girish A</t>
        </is>
      </c>
      <c r="G19" s="203" t="inlineStr">
        <is>
          <t>Offline</t>
        </is>
      </c>
      <c r="H19" s="203" t="inlineStr">
        <is>
          <t>NRI Sales and Acop Training session</t>
        </is>
      </c>
      <c r="I19" s="204" t="n">
        <v>6.5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NRI Sales and Acop Training session</t>
        </is>
      </c>
      <c r="D20" s="203" t="inlineStr">
        <is>
          <t>2026-06-09</t>
        </is>
      </c>
      <c r="E20" s="203" t="inlineStr">
        <is>
          <t>—</t>
        </is>
      </c>
      <c r="F20" s="203" t="inlineStr">
        <is>
          <t>Girish A</t>
        </is>
      </c>
      <c r="G20" s="203" t="inlineStr">
        <is>
          <t>Offline</t>
        </is>
      </c>
      <c r="H20" s="203" t="inlineStr">
        <is>
          <t>NRI Sales and Acop Training session</t>
        </is>
      </c>
      <c r="I20" s="204" t="n">
        <v>6.5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Renu's team</t>
        </is>
      </c>
      <c r="D21" s="203" t="inlineStr">
        <is>
          <t>2026-06-09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Renu's team</t>
        </is>
      </c>
      <c r="I21" s="204" t="n">
        <v>2.25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Renu's team</t>
        </is>
      </c>
      <c r="D22" s="203" t="inlineStr">
        <is>
          <t>2026-06-10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Renu's team</t>
        </is>
      </c>
      <c r="I22" s="204" t="n">
        <v>2.25</v>
      </c>
    </row>
    <row r="23" ht="15.75" customHeight="1" s="156">
      <c r="A23" s="202" t="n">
        <v>17</v>
      </c>
      <c r="B23" s="203" t="inlineStr">
        <is>
          <t>Assessment</t>
        </is>
      </c>
      <c r="C23" s="203" t="inlineStr">
        <is>
          <t>Review on Pick &amp; Speak &amp; mockcall - Renu team</t>
        </is>
      </c>
      <c r="D23" s="203" t="inlineStr">
        <is>
          <t>2026-06-10</t>
        </is>
      </c>
      <c r="E23" s="203" t="inlineStr">
        <is>
          <t>—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Review on Pick &amp; Speak &amp; mockcall - Renu team</t>
        </is>
      </c>
      <c r="I23" s="204" t="n">
        <v>4</v>
      </c>
    </row>
    <row r="24" ht="15.75" customHeight="1" s="156">
      <c r="A24" s="202" t="n">
        <v>18</v>
      </c>
      <c r="B24" s="203" t="inlineStr">
        <is>
          <t>Assessment</t>
        </is>
      </c>
      <c r="C24" s="203" t="inlineStr">
        <is>
          <t>Review on Pick &amp; Speak &amp; mockcall - Renu Team</t>
        </is>
      </c>
      <c r="D24" s="203" t="inlineStr">
        <is>
          <t>2026-06-08</t>
        </is>
      </c>
      <c r="E24" s="203" t="inlineStr">
        <is>
          <t>—</t>
        </is>
      </c>
      <c r="F24" s="203" t="inlineStr">
        <is>
          <t>Harish Bhat</t>
        </is>
      </c>
      <c r="G24" s="203" t="inlineStr">
        <is>
          <t>Offline</t>
        </is>
      </c>
      <c r="H24" s="203" t="inlineStr">
        <is>
          <t>Review on Pick &amp; Speak &amp; mockcall - Renu Team</t>
        </is>
      </c>
      <c r="I24" s="204" t="n">
        <v>4</v>
      </c>
    </row>
    <row r="25" ht="15.75" customHeight="1" s="156">
      <c r="A25" s="202" t="n">
        <v>19</v>
      </c>
      <c r="B25" s="203" t="inlineStr">
        <is>
          <t>Assessment</t>
        </is>
      </c>
      <c r="C25" s="203" t="inlineStr">
        <is>
          <t>Review on Pick &amp; Speak &amp; mockcall Renu team</t>
        </is>
      </c>
      <c r="D25" s="203" t="inlineStr">
        <is>
          <t>2026-06-09</t>
        </is>
      </c>
      <c r="E25" s="203" t="inlineStr">
        <is>
          <t>—</t>
        </is>
      </c>
      <c r="F25" s="203" t="inlineStr">
        <is>
          <t>Harish Bhat</t>
        </is>
      </c>
      <c r="G25" s="203" t="inlineStr">
        <is>
          <t>Offline</t>
        </is>
      </c>
      <c r="H25" s="203" t="inlineStr">
        <is>
          <t>Review on Pick &amp; Speak &amp; mockcall Renu team</t>
        </is>
      </c>
      <c r="I25" s="204" t="n">
        <v>4</v>
      </c>
    </row>
    <row r="26" ht="15.75" customHeight="1" s="156">
      <c r="A26" s="202" t="n">
        <v>20</v>
      </c>
      <c r="B26" s="203" t="inlineStr">
        <is>
          <t>Other</t>
        </is>
      </c>
      <c r="C26" s="203" t="inlineStr">
        <is>
          <t>Review on Pick &amp; Speak &amp; mockcall - Renu team</t>
        </is>
      </c>
      <c r="D26" s="203" t="inlineStr">
        <is>
          <t>2026-06-11</t>
        </is>
      </c>
      <c r="E26" s="203" t="inlineStr">
        <is>
          <t>—</t>
        </is>
      </c>
      <c r="F26" s="203" t="inlineStr">
        <is>
          <t>Harish Bhat</t>
        </is>
      </c>
      <c r="G26" s="203" t="inlineStr">
        <is>
          <t>Offline</t>
        </is>
      </c>
      <c r="H26" s="203" t="inlineStr">
        <is>
          <t>Review on Pick &amp; Speak &amp; mockcall - Renu team</t>
        </is>
      </c>
      <c r="I26" s="204" t="n">
        <v>3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2026-06-10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0.75</v>
      </c>
    </row>
    <row r="28" ht="15.75" customHeight="1" s="156">
      <c r="A28" s="199" t="n">
        <v>22</v>
      </c>
      <c r="B28" s="200" t="inlineStr">
        <is>
          <t>Other</t>
        </is>
      </c>
      <c r="C28" s="200" t="inlineStr">
        <is>
          <t>Candidates Interview</t>
        </is>
      </c>
      <c r="D28" s="200" t="inlineStr">
        <is>
          <t>2026-06-10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Candidates 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varsity tickets</t>
        </is>
      </c>
      <c r="D29" s="200" t="inlineStr">
        <is>
          <t>2026-06-08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varsity tickets</t>
        </is>
      </c>
      <c r="I29" s="201" t="n">
        <v>0.25</v>
      </c>
    </row>
    <row r="30" ht="15.75" customHeight="1" s="156">
      <c r="A30" s="199" t="n">
        <v>24</v>
      </c>
      <c r="B30" s="200" t="inlineStr">
        <is>
          <t>Other</t>
        </is>
      </c>
      <c r="C30" s="200" t="inlineStr">
        <is>
          <t>varsity tickets</t>
        </is>
      </c>
      <c r="D30" s="200" t="inlineStr">
        <is>
          <t>2026-06-09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varsity tickets</t>
        </is>
      </c>
      <c r="I30" s="201" t="n">
        <v>0.25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varsity tickets</t>
        </is>
      </c>
      <c r="D31" s="200" t="inlineStr">
        <is>
          <t>2026-06-10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varsity tickets</t>
        </is>
      </c>
      <c r="I31" s="201" t="n">
        <v>0.25</v>
      </c>
    </row>
    <row r="32" ht="15.75" customHeight="1" s="156">
      <c r="A32" s="202" t="n">
        <v>26</v>
      </c>
      <c r="B32" s="203" t="inlineStr">
        <is>
          <t>Support Training</t>
        </is>
      </c>
      <c r="C32" s="203" t="inlineStr">
        <is>
          <t>Communicate 360- Renu's team</t>
        </is>
      </c>
      <c r="D32" s="203" t="inlineStr">
        <is>
          <t>2026-06-11</t>
        </is>
      </c>
      <c r="E32" s="203" t="inlineStr">
        <is>
          <t>—</t>
        </is>
      </c>
      <c r="F32" s="203" t="inlineStr">
        <is>
          <t>Freeda Reshma Dsouza</t>
        </is>
      </c>
      <c r="G32" s="203" t="inlineStr">
        <is>
          <t>Offline</t>
        </is>
      </c>
      <c r="H32" s="203" t="inlineStr">
        <is>
          <t>Communicate 360- Renu's team</t>
        </is>
      </c>
      <c r="I32" s="204" t="n">
        <v>2.5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Review on Pick &amp; Speak -</t>
        </is>
      </c>
      <c r="D33" s="200" t="inlineStr">
        <is>
          <t>2026-06-11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Review on Pick &amp; Speak -</t>
        </is>
      </c>
      <c r="I33" s="201" t="n">
        <v>1.25</v>
      </c>
    </row>
    <row r="34" ht="15.75" customHeight="1" s="156">
      <c r="A34" s="199" t="n">
        <v>28</v>
      </c>
      <c r="B34" s="200" t="inlineStr">
        <is>
          <t>Other</t>
        </is>
      </c>
      <c r="C34" s="200" t="inlineStr">
        <is>
          <t>Candidates Interview</t>
        </is>
      </c>
      <c r="D34" s="200" t="inlineStr">
        <is>
          <t>2026-06-12</t>
        </is>
      </c>
      <c r="E34" s="200" t="inlineStr">
        <is>
          <t>—</t>
        </is>
      </c>
      <c r="F34" s="200" t="inlineStr">
        <is>
          <t>Harish Bhat</t>
        </is>
      </c>
      <c r="G34" s="200" t="inlineStr">
        <is>
          <t>Online</t>
        </is>
      </c>
      <c r="H34" s="200" t="inlineStr">
        <is>
          <t>Candidates 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varsity tickets</t>
        </is>
      </c>
      <c r="D35" s="200" t="inlineStr">
        <is>
          <t>2026-06-11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varsity tickets</t>
        </is>
      </c>
      <c r="I35" s="201" t="n">
        <v>0.25</v>
      </c>
    </row>
    <row r="36" ht="15.75" customHeight="1" s="156">
      <c r="A36" s="199" t="n">
        <v>30</v>
      </c>
      <c r="B36" s="200" t="inlineStr">
        <is>
          <t>Other</t>
        </is>
      </c>
      <c r="C36" s="200" t="inlineStr">
        <is>
          <t>Candidates Interview</t>
        </is>
      </c>
      <c r="D36" s="200" t="inlineStr">
        <is>
          <t>2026-06-11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Other</t>
        </is>
      </c>
      <c r="C37" s="200" t="inlineStr">
        <is>
          <t>Candidates Interview</t>
        </is>
      </c>
      <c r="D37" s="200" t="inlineStr">
        <is>
          <t>2026-06-15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exam schedule</t>
        </is>
      </c>
      <c r="D38" s="200" t="inlineStr">
        <is>
          <t>2026-06-12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exam schedule</t>
        </is>
      </c>
      <c r="I38" s="201" t="n">
        <v>0.5</v>
      </c>
    </row>
    <row r="39" ht="15.75" customHeight="1" s="156">
      <c r="A39" s="199" t="n">
        <v>33</v>
      </c>
      <c r="B39" s="200" t="inlineStr">
        <is>
          <t>Assessment</t>
        </is>
      </c>
      <c r="C39" s="200" t="inlineStr">
        <is>
          <t>Review on mockcall - Renu team</t>
        </is>
      </c>
      <c r="D39" s="200" t="inlineStr">
        <is>
          <t>2026-06-12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Review on mockcall - Renu team</t>
        </is>
      </c>
      <c r="I39" s="201" t="n">
        <v>4</v>
      </c>
    </row>
    <row r="40" ht="15.75" customHeight="1" s="156">
      <c r="A40" s="199" t="n">
        <v>34</v>
      </c>
      <c r="B40" s="200" t="inlineStr">
        <is>
          <t>Assessment</t>
        </is>
      </c>
      <c r="C40" s="200" t="inlineStr">
        <is>
          <t>Managers training  Assesments discussion &amp; Preperation</t>
        </is>
      </c>
      <c r="D40" s="200" t="inlineStr">
        <is>
          <t>2026-06-15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Managers training  Assesments discussion &amp; Preperation</t>
        </is>
      </c>
      <c r="I40" s="201" t="n">
        <v>2</v>
      </c>
    </row>
    <row r="41" ht="15.75" customHeight="1" s="156">
      <c r="A41" s="199" t="n">
        <v>35</v>
      </c>
      <c r="B41" s="200" t="inlineStr">
        <is>
          <t>Support Training</t>
        </is>
      </c>
      <c r="C41" s="200" t="inlineStr">
        <is>
          <t>Ticket's team mock ticket details preperation</t>
        </is>
      </c>
      <c r="D41" s="200" t="inlineStr">
        <is>
          <t>2026-06-15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Ticket's team mock ticket details preperation</t>
        </is>
      </c>
      <c r="I41" s="201" t="n">
        <v>0.5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Review on Pick &amp; Speak &amp; mockcall - Renu team</t>
        </is>
      </c>
      <c r="D42" s="200" t="inlineStr">
        <is>
          <t>2026-06-16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Review on Pick &amp; Speak &amp; mockcall - Renu team</t>
        </is>
      </c>
      <c r="I42" s="201" t="n">
        <v>3</v>
      </c>
    </row>
    <row r="43" ht="15.75" customHeight="1" s="156">
      <c r="A43" s="202" t="n">
        <v>37</v>
      </c>
      <c r="B43" s="203" t="inlineStr">
        <is>
          <t>Other</t>
        </is>
      </c>
      <c r="C43" s="203" t="inlineStr">
        <is>
          <t>Reports email schedule for Pradeep &amp; Priyanka's team</t>
        </is>
      </c>
      <c r="D43" s="203" t="inlineStr">
        <is>
          <t>2026-06-16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Reports email schedule for Pradeep &amp; Priyanka's team</t>
        </is>
      </c>
      <c r="I43" s="204" t="n">
        <v>1</v>
      </c>
    </row>
    <row r="44" ht="15.75" customHeight="1" s="156">
      <c r="A44" s="199" t="n">
        <v>38</v>
      </c>
      <c r="B44" s="200" t="inlineStr">
        <is>
          <t>Other</t>
        </is>
      </c>
      <c r="C44" s="200" t="inlineStr">
        <is>
          <t>Candidates Interview</t>
        </is>
      </c>
      <c r="D44" s="200" t="inlineStr">
        <is>
          <t>2026-06-17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Candidates Interview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Support Training</t>
        </is>
      </c>
      <c r="C45" s="200" t="inlineStr">
        <is>
          <t>Managers training Assesments Preperation</t>
        </is>
      </c>
      <c r="D45" s="200" t="inlineStr">
        <is>
          <t>2026-06-16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Managers training Assesments Preperation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Varsity script work</t>
        </is>
      </c>
      <c r="D46" s="203" t="inlineStr">
        <is>
          <t>2026-06-13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Varsity script work</t>
        </is>
      </c>
      <c r="I46" s="204" t="n">
        <v>3</v>
      </c>
    </row>
    <row r="47" ht="15.75" customHeight="1" s="156">
      <c r="A47" s="199" t="n">
        <v>41</v>
      </c>
      <c r="B47" s="200" t="inlineStr">
        <is>
          <t>Other</t>
        </is>
      </c>
      <c r="C47" s="200" t="inlineStr">
        <is>
          <t>Candidates Interview</t>
        </is>
      </c>
      <c r="D47" s="200" t="inlineStr">
        <is>
          <t>2026-06-17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Candidates Interview</t>
        </is>
      </c>
      <c r="I47" s="201" t="n">
        <v>1</v>
      </c>
    </row>
    <row r="48" ht="15.75" customHeight="1" s="156">
      <c r="A48" s="199" t="n">
        <v>42</v>
      </c>
      <c r="B48" s="200" t="inlineStr">
        <is>
          <t>Other</t>
        </is>
      </c>
      <c r="C48" s="200" t="inlineStr">
        <is>
          <t>Candidates Interview</t>
        </is>
      </c>
      <c r="D48" s="200" t="inlineStr">
        <is>
          <t>2026-06-17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Candidates Interview</t>
        </is>
      </c>
      <c r="I48" s="201" t="n">
        <v>1</v>
      </c>
    </row>
    <row r="49" ht="15.75" customHeight="1" s="156">
      <c r="A49" s="202" t="n">
        <v>43</v>
      </c>
      <c r="B49" s="203" t="inlineStr">
        <is>
          <t>Support Training</t>
        </is>
      </c>
      <c r="C49" s="203" t="inlineStr">
        <is>
          <t>Communicate 360- Renu's team</t>
        </is>
      </c>
      <c r="D49" s="203" t="inlineStr">
        <is>
          <t>2026-06-16</t>
        </is>
      </c>
      <c r="E49" s="203" t="inlineStr">
        <is>
          <t>—</t>
        </is>
      </c>
      <c r="F49" s="203" t="inlineStr">
        <is>
          <t>Freeda Reshma Dsouza</t>
        </is>
      </c>
      <c r="G49" s="203" t="inlineStr">
        <is>
          <t>Offline</t>
        </is>
      </c>
      <c r="H49" s="203" t="inlineStr">
        <is>
          <t>Communicate 360- Renu's team</t>
        </is>
      </c>
      <c r="I49" s="204" t="n">
        <v>2.5</v>
      </c>
    </row>
    <row r="50" ht="15.75" customHeight="1" s="156">
      <c r="A50" s="202" t="n">
        <v>44</v>
      </c>
      <c r="B50" s="203" t="inlineStr">
        <is>
          <t>Support Training</t>
        </is>
      </c>
      <c r="C50" s="203" t="inlineStr">
        <is>
          <t>Communicate 360- Renu's team</t>
        </is>
      </c>
      <c r="D50" s="203" t="inlineStr">
        <is>
          <t>2026-06-16</t>
        </is>
      </c>
      <c r="E50" s="203" t="inlineStr">
        <is>
          <t>—</t>
        </is>
      </c>
      <c r="F50" s="203" t="inlineStr">
        <is>
          <t>Freeda Reshma Dsouza</t>
        </is>
      </c>
      <c r="G50" s="203" t="inlineStr">
        <is>
          <t>Offline</t>
        </is>
      </c>
      <c r="H50" s="203" t="inlineStr">
        <is>
          <t>Communicate 360- Renu's team</t>
        </is>
      </c>
      <c r="I50" s="204" t="n">
        <v>2.5</v>
      </c>
    </row>
    <row r="51" ht="15.75" customHeight="1" s="156">
      <c r="A51" s="202" t="n">
        <v>45</v>
      </c>
      <c r="B51" s="203" t="inlineStr">
        <is>
          <t>Support Training</t>
        </is>
      </c>
      <c r="C51" s="203" t="inlineStr">
        <is>
          <t>Communicate 360- Renu's team</t>
        </is>
      </c>
      <c r="D51" s="203" t="inlineStr">
        <is>
          <t>2026-06-17</t>
        </is>
      </c>
      <c r="E51" s="203" t="inlineStr">
        <is>
          <t>—</t>
        </is>
      </c>
      <c r="F51" s="203" t="inlineStr">
        <is>
          <t>Freeda Reshma Dsouza</t>
        </is>
      </c>
      <c r="G51" s="203" t="inlineStr">
        <is>
          <t>Offline</t>
        </is>
      </c>
      <c r="H51" s="203" t="inlineStr">
        <is>
          <t>Communicate 360- Renu's team</t>
        </is>
      </c>
      <c r="I51" s="204" t="n">
        <v>2.5</v>
      </c>
    </row>
    <row r="52" ht="15.75" customHeight="1" s="156">
      <c r="A52" s="202" t="n">
        <v>46</v>
      </c>
      <c r="B52" s="203" t="inlineStr">
        <is>
          <t>Support Training</t>
        </is>
      </c>
      <c r="C52" s="203" t="inlineStr">
        <is>
          <t>Communicate 360- Renu's team</t>
        </is>
      </c>
      <c r="D52" s="203" t="inlineStr">
        <is>
          <t>2026-06-17</t>
        </is>
      </c>
      <c r="E52" s="203" t="inlineStr">
        <is>
          <t>—</t>
        </is>
      </c>
      <c r="F52" s="203" t="inlineStr">
        <is>
          <t>Freeda Reshma Dsouza</t>
        </is>
      </c>
      <c r="G52" s="203" t="inlineStr">
        <is>
          <t>Offline</t>
        </is>
      </c>
      <c r="H52" s="203" t="inlineStr">
        <is>
          <t>Communicate 360- Renu's team</t>
        </is>
      </c>
      <c r="I52" s="204" t="n">
        <v>2.5</v>
      </c>
    </row>
    <row r="53" ht="15.75" customHeight="1" s="156">
      <c r="A53" s="202" t="n">
        <v>47</v>
      </c>
      <c r="B53" s="203" t="inlineStr">
        <is>
          <t>Support Training</t>
        </is>
      </c>
      <c r="C53" s="203" t="inlineStr">
        <is>
          <t>Communicate 360- Renu's team</t>
        </is>
      </c>
      <c r="D53" s="203" t="inlineStr">
        <is>
          <t>2026-06-18</t>
        </is>
      </c>
      <c r="E53" s="203" t="inlineStr">
        <is>
          <t>—</t>
        </is>
      </c>
      <c r="F53" s="203" t="inlineStr">
        <is>
          <t>Freeda Reshma Dsouza</t>
        </is>
      </c>
      <c r="G53" s="203" t="inlineStr">
        <is>
          <t>Offline</t>
        </is>
      </c>
      <c r="H53" s="203" t="inlineStr">
        <is>
          <t>Communicate 360- Renu's team</t>
        </is>
      </c>
      <c r="I53" s="204" t="n">
        <v>2.5</v>
      </c>
    </row>
    <row r="54" ht="15.75" customHeight="1" s="156">
      <c r="A54" s="202" t="n">
        <v>48</v>
      </c>
      <c r="B54" s="203" t="inlineStr">
        <is>
          <t>Support Training</t>
        </is>
      </c>
      <c r="C54" s="203" t="inlineStr">
        <is>
          <t>Communicate 360- Renu's team</t>
        </is>
      </c>
      <c r="D54" s="203" t="inlineStr">
        <is>
          <t>2026-06-18</t>
        </is>
      </c>
      <c r="E54" s="203" t="inlineStr">
        <is>
          <t>—</t>
        </is>
      </c>
      <c r="F54" s="203" t="inlineStr">
        <is>
          <t>Freeda Reshma Dsouza</t>
        </is>
      </c>
      <c r="G54" s="203" t="inlineStr">
        <is>
          <t>Offline</t>
        </is>
      </c>
      <c r="H54" s="203" t="inlineStr">
        <is>
          <t>Communicate 360- Renu's team</t>
        </is>
      </c>
      <c r="I54" s="204" t="n">
        <v>2.5</v>
      </c>
    </row>
    <row r="55" ht="15.75" customHeight="1" s="156">
      <c r="A55" s="202" t="n">
        <v>49</v>
      </c>
      <c r="B55" s="203" t="inlineStr">
        <is>
          <t>Support Training</t>
        </is>
      </c>
      <c r="C55" s="203" t="inlineStr">
        <is>
          <t>Communicate 360- Renu's team</t>
        </is>
      </c>
      <c r="D55" s="203" t="inlineStr">
        <is>
          <t>2026-06-19</t>
        </is>
      </c>
      <c r="E55" s="203" t="inlineStr">
        <is>
          <t>—</t>
        </is>
      </c>
      <c r="F55" s="203" t="inlineStr">
        <is>
          <t>Freeda Reshma Dsouza</t>
        </is>
      </c>
      <c r="G55" s="203" t="inlineStr">
        <is>
          <t>Offline</t>
        </is>
      </c>
      <c r="H55" s="203" t="inlineStr">
        <is>
          <t>Communicate 360- Renu's team</t>
        </is>
      </c>
      <c r="I55" s="204" t="n">
        <v>2.75</v>
      </c>
    </row>
    <row r="56" ht="15.75" customHeight="1" s="156">
      <c r="A56" s="202" t="n">
        <v>50</v>
      </c>
      <c r="B56" s="203" t="inlineStr">
        <is>
          <t>Support Training</t>
        </is>
      </c>
      <c r="C56" s="203" t="inlineStr">
        <is>
          <t>Communicate 360- Renu's team</t>
        </is>
      </c>
      <c r="D56" s="203" t="inlineStr">
        <is>
          <t>2026-06-19</t>
        </is>
      </c>
      <c r="E56" s="203" t="inlineStr">
        <is>
          <t>—</t>
        </is>
      </c>
      <c r="F56" s="203" t="inlineStr">
        <is>
          <t>Freeda Reshma Dsouza</t>
        </is>
      </c>
      <c r="G56" s="203" t="inlineStr">
        <is>
          <t>Offline</t>
        </is>
      </c>
      <c r="H56" s="203" t="inlineStr">
        <is>
          <t>Communicate 360- Renu's team</t>
        </is>
      </c>
      <c r="I56" s="204" t="n">
        <v>2.75</v>
      </c>
    </row>
    <row r="57" ht="15.75" customHeight="1" s="156">
      <c r="A57" s="202" t="n">
        <v>51</v>
      </c>
      <c r="B57" s="203" t="inlineStr">
        <is>
          <t>Support Training</t>
        </is>
      </c>
      <c r="C57" s="203" t="inlineStr">
        <is>
          <t>Tickets team Communicate 360 training</t>
        </is>
      </c>
      <c r="D57" s="203" t="inlineStr">
        <is>
          <t>2026-06-29</t>
        </is>
      </c>
      <c r="E57" s="203" t="inlineStr">
        <is>
          <t>—</t>
        </is>
      </c>
      <c r="F57" s="203" t="inlineStr">
        <is>
          <t>Freeda Reshma Dsouza</t>
        </is>
      </c>
      <c r="G57" s="203" t="inlineStr">
        <is>
          <t>Offline</t>
        </is>
      </c>
      <c r="H57" s="203" t="inlineStr">
        <is>
          <t>Tickets team Communicate 360 training</t>
        </is>
      </c>
      <c r="I57" s="204" t="n">
        <v>2.5</v>
      </c>
    </row>
    <row r="58" ht="15.75" customHeight="1" s="156">
      <c r="A58" s="202" t="n">
        <v>52</v>
      </c>
      <c r="B58" s="203" t="inlineStr">
        <is>
          <t>Support Training</t>
        </is>
      </c>
      <c r="C58" s="203" t="inlineStr">
        <is>
          <t>Tickets team communicate 360 training</t>
        </is>
      </c>
      <c r="D58" s="203" t="inlineStr">
        <is>
          <t>2026-06-30</t>
        </is>
      </c>
      <c r="E58" s="203" t="inlineStr">
        <is>
          <t>—</t>
        </is>
      </c>
      <c r="F58" s="203" t="inlineStr">
        <is>
          <t>Freeda Reshma Dsouza</t>
        </is>
      </c>
      <c r="G58" s="203" t="inlineStr">
        <is>
          <t>Offline</t>
        </is>
      </c>
      <c r="H58" s="203" t="inlineStr">
        <is>
          <t>Tickets team communicate 360 training</t>
        </is>
      </c>
      <c r="I58" s="204" t="n">
        <v>2.5</v>
      </c>
    </row>
    <row r="59" ht="15.75" customHeight="1" s="156">
      <c r="A59" s="202" t="n">
        <v>53</v>
      </c>
      <c r="B59" s="203" t="inlineStr">
        <is>
          <t>Support Training</t>
        </is>
      </c>
      <c r="C59" s="203" t="inlineStr">
        <is>
          <t>Tickets team communicate 360 training</t>
        </is>
      </c>
      <c r="D59" s="203" t="inlineStr">
        <is>
          <t>2026-06-30</t>
        </is>
      </c>
      <c r="E59" s="203" t="inlineStr">
        <is>
          <t>—</t>
        </is>
      </c>
      <c r="F59" s="203" t="inlineStr">
        <is>
          <t>Freeda Reshma Dsouza</t>
        </is>
      </c>
      <c r="G59" s="203" t="inlineStr">
        <is>
          <t>Offline</t>
        </is>
      </c>
      <c r="H59" s="203" t="inlineStr">
        <is>
          <t>Tickets team communicate 360 training</t>
        </is>
      </c>
      <c r="I59" s="204" t="n">
        <v>2.5</v>
      </c>
    </row>
    <row r="60" ht="15.75" customHeight="1" s="156">
      <c r="A60" s="202" t="n">
        <v>54</v>
      </c>
      <c r="B60" s="203" t="inlineStr">
        <is>
          <t>Support Training</t>
        </is>
      </c>
      <c r="C60" s="203" t="inlineStr">
        <is>
          <t>NRI Sales and Acop Training session</t>
        </is>
      </c>
      <c r="D60" s="203" t="inlineStr">
        <is>
          <t>2026-06-10</t>
        </is>
      </c>
      <c r="E60" s="203" t="inlineStr">
        <is>
          <t>—</t>
        </is>
      </c>
      <c r="F60" s="203" t="inlineStr">
        <is>
          <t>Girish A</t>
        </is>
      </c>
      <c r="G60" s="203" t="inlineStr">
        <is>
          <t>Offline</t>
        </is>
      </c>
      <c r="H60" s="203" t="inlineStr">
        <is>
          <t>NRI Sales and Acop Training session</t>
        </is>
      </c>
      <c r="I60" s="204" t="n">
        <v>6.5</v>
      </c>
    </row>
    <row r="61" ht="15.75" customHeight="1" s="156">
      <c r="A61" s="202" t="n">
        <v>55</v>
      </c>
      <c r="B61" s="203" t="inlineStr">
        <is>
          <t>Support Training</t>
        </is>
      </c>
      <c r="C61" s="203" t="inlineStr">
        <is>
          <t>NRI Sales and Acop Training session</t>
        </is>
      </c>
      <c r="D61" s="203" t="inlineStr">
        <is>
          <t>2026-06-11</t>
        </is>
      </c>
      <c r="E61" s="203" t="inlineStr">
        <is>
          <t>—</t>
        </is>
      </c>
      <c r="F61" s="203" t="inlineStr">
        <is>
          <t>Girish A</t>
        </is>
      </c>
      <c r="G61" s="203" t="inlineStr">
        <is>
          <t>Offline</t>
        </is>
      </c>
      <c r="H61" s="203" t="inlineStr">
        <is>
          <t>NRI Sales and Acop Training session</t>
        </is>
      </c>
      <c r="I61" s="204" t="n">
        <v>6.5</v>
      </c>
    </row>
    <row r="62" ht="15.75" customHeight="1" s="156">
      <c r="A62" s="202" t="n">
        <v>56</v>
      </c>
      <c r="B62" s="203" t="inlineStr">
        <is>
          <t>Support Training</t>
        </is>
      </c>
      <c r="C62" s="203" t="inlineStr">
        <is>
          <t>NRI Sales and Acop Training session</t>
        </is>
      </c>
      <c r="D62" s="203" t="inlineStr">
        <is>
          <t>2026-06-12</t>
        </is>
      </c>
      <c r="E62" s="203" t="inlineStr">
        <is>
          <t>—</t>
        </is>
      </c>
      <c r="F62" s="203" t="inlineStr">
        <is>
          <t>Girish A</t>
        </is>
      </c>
      <c r="G62" s="203" t="inlineStr">
        <is>
          <t>Offline</t>
        </is>
      </c>
      <c r="H62" s="203" t="inlineStr">
        <is>
          <t>NRI Sales and Acop Training session</t>
        </is>
      </c>
      <c r="I62" s="204" t="n">
        <v>6.5</v>
      </c>
    </row>
    <row r="63" ht="15.75" customHeight="1" s="156">
      <c r="A63" s="202" t="n">
        <v>57</v>
      </c>
      <c r="B63" s="203" t="inlineStr">
        <is>
          <t>Support Training</t>
        </is>
      </c>
      <c r="C63" s="203" t="inlineStr">
        <is>
          <t>NRI Sales and Acop Training session</t>
        </is>
      </c>
      <c r="D63" s="203" t="inlineStr">
        <is>
          <t>2026-06-15</t>
        </is>
      </c>
      <c r="E63" s="203" t="inlineStr">
        <is>
          <t>—</t>
        </is>
      </c>
      <c r="F63" s="203" t="inlineStr">
        <is>
          <t>Girish A</t>
        </is>
      </c>
      <c r="G63" s="203" t="inlineStr">
        <is>
          <t>Offline</t>
        </is>
      </c>
      <c r="H63" s="203" t="inlineStr">
        <is>
          <t>NRI Sales and Acop Training session</t>
        </is>
      </c>
      <c r="I63" s="204" t="n">
        <v>6.5</v>
      </c>
    </row>
    <row r="64" ht="15.75" customHeight="1" s="156">
      <c r="A64" s="202" t="n">
        <v>58</v>
      </c>
      <c r="B64" s="203" t="inlineStr">
        <is>
          <t>Support Training</t>
        </is>
      </c>
      <c r="C64" s="203" t="inlineStr">
        <is>
          <t>NRI Sales and Acop Training session</t>
        </is>
      </c>
      <c r="D64" s="203" t="inlineStr">
        <is>
          <t>2026-06-16</t>
        </is>
      </c>
      <c r="E64" s="203" t="inlineStr">
        <is>
          <t>—</t>
        </is>
      </c>
      <c r="F64" s="203" t="inlineStr">
        <is>
          <t>Girish A</t>
        </is>
      </c>
      <c r="G64" s="203" t="inlineStr">
        <is>
          <t>Offline</t>
        </is>
      </c>
      <c r="H64" s="203" t="inlineStr">
        <is>
          <t>NRI Sales and Acop Training session</t>
        </is>
      </c>
      <c r="I64" s="204" t="n">
        <v>6.5</v>
      </c>
    </row>
    <row r="65" ht="15.75" customHeight="1" s="156">
      <c r="A65" s="202" t="n">
        <v>59</v>
      </c>
      <c r="B65" s="203" t="inlineStr">
        <is>
          <t>Support Training</t>
        </is>
      </c>
      <c r="C65" s="203" t="inlineStr">
        <is>
          <t>NRI Sales and Acop Training session</t>
        </is>
      </c>
      <c r="D65" s="203" t="inlineStr">
        <is>
          <t>2026-06-17</t>
        </is>
      </c>
      <c r="E65" s="203" t="inlineStr">
        <is>
          <t>—</t>
        </is>
      </c>
      <c r="F65" s="203" t="inlineStr">
        <is>
          <t>Girish A</t>
        </is>
      </c>
      <c r="G65" s="203" t="inlineStr">
        <is>
          <t>Offline</t>
        </is>
      </c>
      <c r="H65" s="203" t="inlineStr">
        <is>
          <t>NRI Sales and Acop Training session</t>
        </is>
      </c>
      <c r="I65" s="204" t="n">
        <v>6.5</v>
      </c>
    </row>
    <row r="66" ht="15.75" customHeight="1" s="156">
      <c r="A66" s="202" t="n">
        <v>60</v>
      </c>
      <c r="B66" s="203" t="inlineStr">
        <is>
          <t>Support Training</t>
        </is>
      </c>
      <c r="C66" s="203" t="inlineStr">
        <is>
          <t>NRI Sales and Acop Training session</t>
        </is>
      </c>
      <c r="D66" s="203" t="inlineStr">
        <is>
          <t>2026-06-18</t>
        </is>
      </c>
      <c r="E66" s="203" t="inlineStr">
        <is>
          <t>—</t>
        </is>
      </c>
      <c r="F66" s="203" t="inlineStr">
        <is>
          <t>Girish A</t>
        </is>
      </c>
      <c r="G66" s="203" t="inlineStr">
        <is>
          <t>Offline</t>
        </is>
      </c>
      <c r="H66" s="203" t="inlineStr">
        <is>
          <t>NRI Sales and Acop Training session</t>
        </is>
      </c>
      <c r="I66" s="204" t="n">
        <v>6.5</v>
      </c>
    </row>
    <row r="67" ht="15.75" customHeight="1" s="156">
      <c r="A67" s="202" t="n">
        <v>61</v>
      </c>
      <c r="B67" s="203" t="inlineStr">
        <is>
          <t>Support Training</t>
        </is>
      </c>
      <c r="C67" s="203" t="inlineStr">
        <is>
          <t>NRI Sales and Acop Training session</t>
        </is>
      </c>
      <c r="D67" s="203" t="inlineStr">
        <is>
          <t>2026-06-19</t>
        </is>
      </c>
      <c r="E67" s="203" t="inlineStr">
        <is>
          <t>—</t>
        </is>
      </c>
      <c r="F67" s="203" t="inlineStr">
        <is>
          <t>Girish A</t>
        </is>
      </c>
      <c r="G67" s="203" t="inlineStr">
        <is>
          <t>Offline</t>
        </is>
      </c>
      <c r="H67" s="203" t="inlineStr">
        <is>
          <t>NRI Sales and Acop Training session</t>
        </is>
      </c>
      <c r="I67" s="204" t="n">
        <v>6.5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NRI Sales and Acop Question paper preparation</t>
        </is>
      </c>
      <c r="D68" s="203" t="inlineStr">
        <is>
          <t>2026-06-20</t>
        </is>
      </c>
      <c r="E68" s="203" t="inlineStr">
        <is>
          <t>—</t>
        </is>
      </c>
      <c r="F68" s="203" t="inlineStr">
        <is>
          <t>Girish A</t>
        </is>
      </c>
      <c r="G68" s="203" t="inlineStr">
        <is>
          <t>Offline</t>
        </is>
      </c>
      <c r="H68" s="203" t="inlineStr">
        <is>
          <t>NRI Sales and Acop Question paper preparation</t>
        </is>
      </c>
      <c r="I68" s="204" t="n">
        <v>2.5</v>
      </c>
    </row>
    <row r="69" ht="15.75" customHeight="1" s="156">
      <c r="A69" s="199" t="n">
        <v>63</v>
      </c>
      <c r="B69" s="200" t="inlineStr">
        <is>
          <t>Other</t>
        </is>
      </c>
      <c r="C69" s="200" t="inlineStr">
        <is>
          <t>LMS Tool testing and conducting Exam</t>
        </is>
      </c>
      <c r="D69" s="200" t="inlineStr">
        <is>
          <t>2026-06-25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LMS Tool testing and conducting Exam</t>
        </is>
      </c>
      <c r="I69" s="201" t="n">
        <v>4</v>
      </c>
    </row>
    <row r="70" ht="15.75" customHeight="1" s="156">
      <c r="A70" s="202" t="n">
        <v>64</v>
      </c>
      <c r="B70" s="203" t="inlineStr">
        <is>
          <t>Support Training</t>
        </is>
      </c>
      <c r="C70" s="203" t="inlineStr">
        <is>
          <t>NRI Sales and Acop Training session</t>
        </is>
      </c>
      <c r="D70" s="203" t="inlineStr">
        <is>
          <t>2026-06-22</t>
        </is>
      </c>
      <c r="E70" s="203" t="inlineStr">
        <is>
          <t>—</t>
        </is>
      </c>
      <c r="F70" s="203" t="inlineStr">
        <is>
          <t>Girish A</t>
        </is>
      </c>
      <c r="G70" s="203" t="inlineStr">
        <is>
          <t>Offline</t>
        </is>
      </c>
      <c r="H70" s="203" t="inlineStr">
        <is>
          <t>NRI Sales and Acop Training session</t>
        </is>
      </c>
      <c r="I70" s="204" t="n">
        <v>6.5</v>
      </c>
    </row>
    <row r="71" ht="15.75" customHeight="1" s="156">
      <c r="A71" s="202" t="n">
        <v>65</v>
      </c>
      <c r="B71" s="203" t="inlineStr">
        <is>
          <t>Support Training</t>
        </is>
      </c>
      <c r="C71" s="203" t="inlineStr">
        <is>
          <t>NRI Sales and Acop Training session</t>
        </is>
      </c>
      <c r="D71" s="203" t="inlineStr">
        <is>
          <t>2026-06-23</t>
        </is>
      </c>
      <c r="E71" s="203" t="inlineStr">
        <is>
          <t>—</t>
        </is>
      </c>
      <c r="F71" s="203" t="inlineStr">
        <is>
          <t>Girish A</t>
        </is>
      </c>
      <c r="G71" s="203" t="inlineStr">
        <is>
          <t>Offline</t>
        </is>
      </c>
      <c r="H71" s="203" t="inlineStr">
        <is>
          <t>NRI Sales and Acop Training session</t>
        </is>
      </c>
      <c r="I71" s="204" t="n">
        <v>6.5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NRI Sales and Acop Training session (Soft skills)</t>
        </is>
      </c>
      <c r="D72" s="200" t="inlineStr">
        <is>
          <t>2026-06-24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NRI Sales and Acop Training session (Soft skills)</t>
        </is>
      </c>
      <c r="I72" s="201" t="n">
        <v>5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NRI Sales and Acop OJT</t>
        </is>
      </c>
      <c r="D73" s="200" t="inlineStr">
        <is>
          <t>2026-06-30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NRI Sales and Acop OJT</t>
        </is>
      </c>
      <c r="I73" s="201" t="n">
        <v>2</v>
      </c>
    </row>
    <row r="74" ht="15.75" customHeight="1" s="156">
      <c r="A74" s="202" t="n">
        <v>68</v>
      </c>
      <c r="B74" s="203" t="inlineStr">
        <is>
          <t>Support Training</t>
        </is>
      </c>
      <c r="C74" s="203" t="inlineStr">
        <is>
          <t>Soft Skills training - New Hire - NRI sales</t>
        </is>
      </c>
      <c r="D74" s="203" t="inlineStr">
        <is>
          <t>2026-06-24</t>
        </is>
      </c>
      <c r="E74" s="203" t="inlineStr">
        <is>
          <t>—</t>
        </is>
      </c>
      <c r="F74" s="203" t="inlineStr">
        <is>
          <t>Freeda Reshma Dsouza</t>
        </is>
      </c>
      <c r="G74" s="203" t="inlineStr">
        <is>
          <t>Offline</t>
        </is>
      </c>
      <c r="H74" s="203" t="inlineStr">
        <is>
          <t>Soft Skills training - New Hire - NRI sales</t>
        </is>
      </c>
      <c r="I74" s="204" t="n">
        <v>4.5</v>
      </c>
    </row>
    <row r="75" ht="15.75" customHeight="1" s="156">
      <c r="A75" s="199" t="n">
        <v>69</v>
      </c>
      <c r="B75" s="200" t="inlineStr">
        <is>
          <t>Other</t>
        </is>
      </c>
      <c r="C75" s="200" t="inlineStr">
        <is>
          <t>Candidates Interview</t>
        </is>
      </c>
      <c r="D75" s="200" t="inlineStr">
        <is>
          <t>2026-06-25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Other</t>
        </is>
      </c>
      <c r="C76" s="200" t="inlineStr">
        <is>
          <t>Candidates Interview</t>
        </is>
      </c>
      <c r="D76" s="200" t="inlineStr">
        <is>
          <t>2026-06-19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Candidates Interview</t>
        </is>
      </c>
      <c r="I76" s="201" t="n">
        <v>1</v>
      </c>
    </row>
    <row r="77" ht="15.75" customHeight="1" s="156">
      <c r="A77" s="199" t="n">
        <v>71</v>
      </c>
      <c r="B77" s="200" t="inlineStr">
        <is>
          <t>Assessment</t>
        </is>
      </c>
      <c r="C77" s="200" t="inlineStr">
        <is>
          <t>Review on Pick &amp; Speak &amp; mockcall - Renu team</t>
        </is>
      </c>
      <c r="D77" s="200" t="inlineStr">
        <is>
          <t>2026-06-18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Review on Pick &amp; Speak &amp; mockcall - Renu team</t>
        </is>
      </c>
      <c r="I77" s="201" t="n">
        <v>3</v>
      </c>
    </row>
    <row r="78" ht="15.75" customHeight="1" s="156">
      <c r="A78" s="199" t="n">
        <v>72</v>
      </c>
      <c r="B78" s="200" t="inlineStr">
        <is>
          <t>Support Training</t>
        </is>
      </c>
      <c r="C78" s="200" t="inlineStr">
        <is>
          <t>Libredesk Demo</t>
        </is>
      </c>
      <c r="D78" s="200" t="inlineStr">
        <is>
          <t>2026-06-30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Libredesk Demo</t>
        </is>
      </c>
      <c r="I78" s="201" t="n">
        <v>1</v>
      </c>
    </row>
    <row r="79" ht="15.75" customHeight="1" s="156">
      <c r="A79" s="199" t="n">
        <v>73</v>
      </c>
      <c r="B79" s="200" t="inlineStr">
        <is>
          <t>Support Training</t>
        </is>
      </c>
      <c r="C79" s="200" t="inlineStr">
        <is>
          <t>Libredesk session preperation</t>
        </is>
      </c>
      <c r="D79" s="200" t="inlineStr">
        <is>
          <t>2026-06-30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Libredesk session preperation</t>
        </is>
      </c>
      <c r="I79" s="201" t="n">
        <v>2</v>
      </c>
    </row>
    <row r="80" ht="15.75" customHeight="1" s="156">
      <c r="A80" s="199" t="n">
        <v>74</v>
      </c>
      <c r="B80" s="200" t="inlineStr">
        <is>
          <t>Support Training</t>
        </is>
      </c>
      <c r="C80" s="200" t="inlineStr">
        <is>
          <t>NRI Sales and Accop OJT</t>
        </is>
      </c>
      <c r="D80" s="200" t="inlineStr">
        <is>
          <t>2026-06-30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NRI Sales and Accop OJT</t>
        </is>
      </c>
      <c r="I80" s="201" t="n">
        <v>2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Managers &amp; NRI Assesments discussion</t>
        </is>
      </c>
      <c r="D81" s="200" t="inlineStr">
        <is>
          <t>2026-06-29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Managers &amp; NRI Assesments discussion</t>
        </is>
      </c>
      <c r="I81" s="201" t="n">
        <v>1</v>
      </c>
    </row>
    <row r="82" ht="15.75" customHeight="1" s="156">
      <c r="A82" s="199" t="n">
        <v>76</v>
      </c>
      <c r="B82" s="200" t="inlineStr">
        <is>
          <t>Other</t>
        </is>
      </c>
      <c r="C82" s="200" t="inlineStr">
        <is>
          <t>lms tool testing</t>
        </is>
      </c>
      <c r="D82" s="200" t="inlineStr">
        <is>
          <t>2026-06-25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lms tool testing</t>
        </is>
      </c>
      <c r="I82" s="201" t="n">
        <v>4</v>
      </c>
    </row>
    <row r="83" ht="15.75" customHeight="1" s="156">
      <c r="A83" s="199" t="n">
        <v>77</v>
      </c>
      <c r="B83" s="200" t="inlineStr">
        <is>
          <t>Other</t>
        </is>
      </c>
      <c r="C83" s="200" t="inlineStr">
        <is>
          <t>lms tool testing</t>
        </is>
      </c>
      <c r="D83" s="200" t="inlineStr">
        <is>
          <t>2026-06-24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lms tool testing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Other</t>
        </is>
      </c>
      <c r="C84" s="200" t="inlineStr">
        <is>
          <t>lms tool testing</t>
        </is>
      </c>
      <c r="D84" s="200" t="inlineStr">
        <is>
          <t>2026-06-23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lms tool testing</t>
        </is>
      </c>
      <c r="I84" s="201" t="n">
        <v>4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lms tool testing</t>
        </is>
      </c>
      <c r="D85" s="200" t="inlineStr">
        <is>
          <t>2026-06-22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lms tool testing</t>
        </is>
      </c>
      <c r="I85" s="201" t="n">
        <v>4</v>
      </c>
    </row>
    <row r="86" ht="15.75" customHeight="1" s="156">
      <c r="A86" s="199" t="n">
        <v>80</v>
      </c>
      <c r="B86" s="200" t="inlineStr">
        <is>
          <t>Other</t>
        </is>
      </c>
      <c r="C86" s="200" t="inlineStr">
        <is>
          <t>varsity tickets</t>
        </is>
      </c>
      <c r="D86" s="200" t="inlineStr">
        <is>
          <t>2026-06-12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varsity tickets</t>
        </is>
      </c>
      <c r="I86" s="201" t="n">
        <v>0.25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2026-06-15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varsity tickets</t>
        </is>
      </c>
      <c r="D88" s="200" t="inlineStr">
        <is>
          <t>2026-06-16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varsity tickets</t>
        </is>
      </c>
      <c r="I88" s="201" t="n">
        <v>0.25</v>
      </c>
    </row>
    <row r="89" ht="15.75" customHeight="1" s="156">
      <c r="A89" s="199" t="n">
        <v>83</v>
      </c>
      <c r="B89" s="200" t="inlineStr">
        <is>
          <t>Other</t>
        </is>
      </c>
      <c r="C89" s="200" t="inlineStr">
        <is>
          <t>varsity tickets</t>
        </is>
      </c>
      <c r="D89" s="200" t="inlineStr">
        <is>
          <t>2026-06-17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varsity tickets</t>
        </is>
      </c>
      <c r="I89" s="201" t="n">
        <v>0.25</v>
      </c>
    </row>
    <row r="90" ht="15.75" customHeight="1" s="156">
      <c r="A90" s="199" t="n">
        <v>84</v>
      </c>
      <c r="B90" s="200" t="inlineStr">
        <is>
          <t>Other</t>
        </is>
      </c>
      <c r="C90" s="200" t="inlineStr">
        <is>
          <t>varsity tickets</t>
        </is>
      </c>
      <c r="D90" s="200" t="inlineStr">
        <is>
          <t>2026-06-18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varsity tickets</t>
        </is>
      </c>
      <c r="I90" s="201" t="n">
        <v>0.25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varsity tickets</t>
        </is>
      </c>
      <c r="D91" s="200" t="inlineStr">
        <is>
          <t>2026-06-19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varsity tickets</t>
        </is>
      </c>
      <c r="I91" s="201" t="n">
        <v>0.25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varsity tickets</t>
        </is>
      </c>
      <c r="D92" s="200" t="inlineStr">
        <is>
          <t>2026-06-22</t>
        </is>
      </c>
      <c r="E92" s="200" t="inlineStr">
        <is>
          <t>—</t>
        </is>
      </c>
      <c r="F92" s="200" t="inlineStr">
        <is>
          <t>Harish Bhat</t>
        </is>
      </c>
      <c r="G92" s="200" t="inlineStr">
        <is>
          <t>Online</t>
        </is>
      </c>
      <c r="H92" s="200" t="inlineStr">
        <is>
          <t>varsity tickets</t>
        </is>
      </c>
      <c r="I92" s="201" t="n">
        <v>0.25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varsity tickets</t>
        </is>
      </c>
      <c r="D93" s="200" t="inlineStr">
        <is>
          <t>2026-06-23</t>
        </is>
      </c>
      <c r="E93" s="200" t="inlineStr">
        <is>
          <t>—</t>
        </is>
      </c>
      <c r="F93" s="200" t="inlineStr">
        <is>
          <t>Harish Bhat</t>
        </is>
      </c>
      <c r="G93" s="200" t="inlineStr">
        <is>
          <t>Online</t>
        </is>
      </c>
      <c r="H93" s="200" t="inlineStr">
        <is>
          <t>varsity tickets</t>
        </is>
      </c>
      <c r="I93" s="201" t="n">
        <v>0.25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varsity tickets</t>
        </is>
      </c>
      <c r="D94" s="200" t="inlineStr">
        <is>
          <t>2026-06-24</t>
        </is>
      </c>
      <c r="E94" s="200" t="inlineStr">
        <is>
          <t>—</t>
        </is>
      </c>
      <c r="F94" s="200" t="inlineStr">
        <is>
          <t>Harish Bhat</t>
        </is>
      </c>
      <c r="G94" s="200" t="inlineStr">
        <is>
          <t>Online</t>
        </is>
      </c>
      <c r="H94" s="200" t="inlineStr">
        <is>
          <t>varsity tickets</t>
        </is>
      </c>
      <c r="I94" s="201" t="n">
        <v>0.25</v>
      </c>
    </row>
    <row r="95" ht="15.75" customHeight="1" s="156">
      <c r="A95" s="199" t="n">
        <v>89</v>
      </c>
      <c r="B95" s="200" t="inlineStr">
        <is>
          <t>Other</t>
        </is>
      </c>
      <c r="C95" s="200" t="inlineStr">
        <is>
          <t>varsity tickets</t>
        </is>
      </c>
      <c r="D95" s="200" t="inlineStr">
        <is>
          <t>2026-06-25</t>
        </is>
      </c>
      <c r="E95" s="200" t="inlineStr">
        <is>
          <t>—</t>
        </is>
      </c>
      <c r="F95" s="200" t="inlineStr">
        <is>
          <t>Harish Bhat</t>
        </is>
      </c>
      <c r="G95" s="200" t="inlineStr">
        <is>
          <t>Online</t>
        </is>
      </c>
      <c r="H95" s="200" t="inlineStr">
        <is>
          <t>varsity tickets</t>
        </is>
      </c>
      <c r="I95" s="201" t="n">
        <v>0.25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varsity tickets</t>
        </is>
      </c>
      <c r="D96" s="200" t="inlineStr">
        <is>
          <t>2026-06-29</t>
        </is>
      </c>
      <c r="E96" s="200" t="inlineStr">
        <is>
          <t>—</t>
        </is>
      </c>
      <c r="F96" s="200" t="inlineStr">
        <is>
          <t>Harish Bhat</t>
        </is>
      </c>
      <c r="G96" s="200" t="inlineStr">
        <is>
          <t>Online</t>
        </is>
      </c>
      <c r="H96" s="200" t="inlineStr">
        <is>
          <t>varsity tickets</t>
        </is>
      </c>
      <c r="I96" s="201" t="n">
        <v>0.25</v>
      </c>
    </row>
    <row r="97" ht="15.75" customHeight="1" s="156">
      <c r="A97" s="199" t="n">
        <v>91</v>
      </c>
      <c r="B97" s="200" t="inlineStr">
        <is>
          <t>Other</t>
        </is>
      </c>
      <c r="C97" s="200" t="inlineStr">
        <is>
          <t>varsity tickets</t>
        </is>
      </c>
      <c r="D97" s="200" t="inlineStr">
        <is>
          <t>2026-06-30</t>
        </is>
      </c>
      <c r="E97" s="200" t="inlineStr">
        <is>
          <t>—</t>
        </is>
      </c>
      <c r="F97" s="200" t="inlineStr">
        <is>
          <t>Harish Bhat</t>
        </is>
      </c>
      <c r="G97" s="200" t="inlineStr">
        <is>
          <t>Online</t>
        </is>
      </c>
      <c r="H97" s="200" t="inlineStr">
        <is>
          <t>varsity tickets</t>
        </is>
      </c>
      <c r="I97" s="201" t="n">
        <v>0.25</v>
      </c>
    </row>
    <row r="98" ht="15.75" customHeight="1" s="156">
      <c r="A98" s="205" t="inlineStr">
        <is>
          <t>TOTAL MAN HOURS THIS MONTH</t>
        </is>
      </c>
      <c r="B98" s="205" t="n"/>
      <c r="C98" s="205" t="n"/>
      <c r="D98" s="205" t="n"/>
      <c r="E98" s="205" t="n"/>
      <c r="F98" s="205" t="n"/>
      <c r="G98" s="205" t="n"/>
      <c r="H98" s="205" t="n"/>
      <c r="I98" s="206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0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7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Tickets team communicate 360 training</t>
        </is>
      </c>
      <c r="D7" s="203" t="inlineStr">
        <is>
          <t>2026-07-01</t>
        </is>
      </c>
      <c r="E7" s="203" t="inlineStr">
        <is>
          <t>—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Tickets team communicate 360 training</t>
        </is>
      </c>
      <c r="I7" s="204" t="n">
        <v>2.5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Tickets team communicate 360 training</t>
        </is>
      </c>
      <c r="D8" s="203" t="inlineStr">
        <is>
          <t>2026-07-01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Tickets team communicate 360 training</t>
        </is>
      </c>
      <c r="I8" s="204" t="n">
        <v>3.5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Tickets team P&amp;S reviewing</t>
        </is>
      </c>
      <c r="D9" s="200" t="inlineStr">
        <is>
          <t>2026-07-01</t>
        </is>
      </c>
      <c r="E9" s="200" t="inlineStr">
        <is>
          <t>—</t>
        </is>
      </c>
      <c r="F9" s="200" t="inlineStr">
        <is>
          <t>Girish A</t>
        </is>
      </c>
      <c r="G9" s="200" t="inlineStr">
        <is>
          <t>Online</t>
        </is>
      </c>
      <c r="H9" s="200" t="inlineStr">
        <is>
          <t>Tickets team P&amp;S reviewing</t>
        </is>
      </c>
      <c r="I9" s="201" t="n">
        <v>2.5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Scheduling the email for the previous batch for Comm360</t>
        </is>
      </c>
      <c r="D10" s="200" t="inlineStr">
        <is>
          <t>2026-07-01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Scheduling the email for the previous batch for Comm360</t>
        </is>
      </c>
      <c r="I10" s="201" t="n">
        <v>2</v>
      </c>
    </row>
    <row r="11" ht="21.75" customHeight="1" s="156">
      <c r="A11" s="199" t="n">
        <v>5</v>
      </c>
      <c r="B11" s="200" t="inlineStr">
        <is>
          <t>Other</t>
        </is>
      </c>
      <c r="C11" s="200" t="inlineStr">
        <is>
          <t>LMS tool testing</t>
        </is>
      </c>
      <c r="D11" s="200" t="inlineStr">
        <is>
          <t>2026-07-02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LMS tool testing</t>
        </is>
      </c>
      <c r="I11" s="201" t="n">
        <v>1.5</v>
      </c>
    </row>
    <row r="12" ht="21.75" customHeight="1" s="156">
      <c r="A12" s="199" t="n">
        <v>6</v>
      </c>
      <c r="B12" s="200" t="inlineStr">
        <is>
          <t>Other</t>
        </is>
      </c>
      <c r="C12" s="200" t="inlineStr">
        <is>
          <t>LMS tool testing</t>
        </is>
      </c>
      <c r="D12" s="200" t="inlineStr">
        <is>
          <t>2026-07-03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LMS tool testing</t>
        </is>
      </c>
      <c r="I12" s="201" t="n">
        <v>1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NRI OJT</t>
        </is>
      </c>
      <c r="D13" s="200" t="inlineStr">
        <is>
          <t>2026-07-02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NRI OJT</t>
        </is>
      </c>
      <c r="I13" s="201" t="n">
        <v>2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SOP meeting</t>
        </is>
      </c>
      <c r="D14" s="200" t="inlineStr">
        <is>
          <t>2026-07-03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SOP meeting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SOP meeting</t>
        </is>
      </c>
      <c r="D15" s="200" t="inlineStr">
        <is>
          <t>2026-07-03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SOP meeting</t>
        </is>
      </c>
      <c r="I15" s="201" t="n">
        <v>1.5</v>
      </c>
    </row>
    <row r="16" ht="21.75" customHeight="1" s="156">
      <c r="A16" s="202" t="n">
        <v>10</v>
      </c>
      <c r="B16" s="203" t="inlineStr">
        <is>
          <t>Other</t>
        </is>
      </c>
      <c r="C16" s="203" t="inlineStr">
        <is>
          <t>SOP Preparation</t>
        </is>
      </c>
      <c r="D16" s="203" t="inlineStr">
        <is>
          <t>2026-07-03</t>
        </is>
      </c>
      <c r="E16" s="203" t="inlineStr">
        <is>
          <t>—</t>
        </is>
      </c>
      <c r="F16" s="203" t="inlineStr">
        <is>
          <t>Harish Bhat</t>
        </is>
      </c>
      <c r="G16" s="203" t="inlineStr">
        <is>
          <t>Offline</t>
        </is>
      </c>
      <c r="H16" s="203" t="inlineStr">
        <is>
          <t>SOP Preparation</t>
        </is>
      </c>
      <c r="I16" s="204" t="n">
        <v>1</v>
      </c>
    </row>
    <row r="17" ht="21.75" customHeight="1" s="156">
      <c r="A17" s="202" t="n">
        <v>11</v>
      </c>
      <c r="B17" s="203" t="inlineStr">
        <is>
          <t>Other</t>
        </is>
      </c>
      <c r="C17" s="203" t="inlineStr">
        <is>
          <t>Refresher training data segregation</t>
        </is>
      </c>
      <c r="D17" s="203" t="inlineStr">
        <is>
          <t>2026-07-03</t>
        </is>
      </c>
      <c r="E17" s="203" t="inlineStr">
        <is>
          <t>—</t>
        </is>
      </c>
      <c r="F17" s="203" t="inlineStr">
        <is>
          <t>Harish Bhat</t>
        </is>
      </c>
      <c r="G17" s="203" t="inlineStr">
        <is>
          <t>Offline</t>
        </is>
      </c>
      <c r="H17" s="203" t="inlineStr">
        <is>
          <t>Refresher training data segregation</t>
        </is>
      </c>
      <c r="I17" s="204" t="n">
        <v>2</v>
      </c>
    </row>
    <row r="18" ht="21.75" customHeight="1" s="156">
      <c r="A18" s="199" t="n">
        <v>12</v>
      </c>
      <c r="B18" s="200" t="inlineStr">
        <is>
          <t>Assessment</t>
        </is>
      </c>
      <c r="C18" s="200" t="inlineStr">
        <is>
          <t>Tickets team P&amp;S review</t>
        </is>
      </c>
      <c r="D18" s="200" t="inlineStr">
        <is>
          <t>2026-07-01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Tickets team P&amp;S review</t>
        </is>
      </c>
      <c r="I18" s="201" t="n">
        <v>3</v>
      </c>
    </row>
    <row r="19" ht="21.75" customHeight="1" s="156">
      <c r="A19" s="202" t="n">
        <v>13</v>
      </c>
      <c r="B19" s="203" t="inlineStr">
        <is>
          <t>Other</t>
        </is>
      </c>
      <c r="C19" s="203" t="inlineStr">
        <is>
          <t>Discussion on refresher</t>
        </is>
      </c>
      <c r="D19" s="203" t="inlineStr">
        <is>
          <t>2026-07-06</t>
        </is>
      </c>
      <c r="E19" s="203" t="inlineStr">
        <is>
          <t>—</t>
        </is>
      </c>
      <c r="F19" s="203" t="inlineStr">
        <is>
          <t>Harish Bhat</t>
        </is>
      </c>
      <c r="G19" s="203" t="inlineStr">
        <is>
          <t>Offline</t>
        </is>
      </c>
      <c r="H19" s="203" t="inlineStr">
        <is>
          <t>Discussion on refresher</t>
        </is>
      </c>
      <c r="I19" s="204" t="n">
        <v>2.5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Ticket's team Tickets team communicate 360 training (mock ticket)</t>
        </is>
      </c>
      <c r="D20" s="203" t="inlineStr">
        <is>
          <t>2026-07-02</t>
        </is>
      </c>
      <c r="E20" s="203" t="inlineStr">
        <is>
          <t>—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Ticket's team Tickets team communicate 360 training (mock ticket)</t>
        </is>
      </c>
      <c r="I20" s="204" t="n">
        <v>2.5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Ticket's team Tickets team communicate 360 training (mock ticket)</t>
        </is>
      </c>
      <c r="D21" s="203" t="inlineStr">
        <is>
          <t>2026-07-02</t>
        </is>
      </c>
      <c r="E21" s="203" t="inlineStr">
        <is>
          <t>—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Ticket's team Tickets team communicate 360 training (mock ticket)</t>
        </is>
      </c>
      <c r="I21" s="204" t="n">
        <v>2.5</v>
      </c>
    </row>
    <row r="22" ht="27.75" customHeight="1" s="156">
      <c r="A22" s="199" t="n">
        <v>16</v>
      </c>
      <c r="B22" s="200" t="inlineStr">
        <is>
          <t>Other</t>
        </is>
      </c>
      <c r="C22" s="200" t="inlineStr">
        <is>
          <t>varsity tickets</t>
        </is>
      </c>
      <c r="D22" s="200" t="inlineStr">
        <is>
          <t>2026-07-01</t>
        </is>
      </c>
      <c r="E22" s="200" t="inlineStr">
        <is>
          <t>—</t>
        </is>
      </c>
      <c r="F22" s="200" t="inlineStr">
        <is>
          <t>Harish Bhat</t>
        </is>
      </c>
      <c r="G22" s="200" t="inlineStr">
        <is>
          <t>Online</t>
        </is>
      </c>
      <c r="H22" s="200" t="inlineStr">
        <is>
          <t>varsity tickets</t>
        </is>
      </c>
      <c r="I22" s="201" t="n">
        <v>0.25</v>
      </c>
    </row>
    <row r="23" ht="15.75" customHeight="1" s="156">
      <c r="A23" s="199" t="n">
        <v>17</v>
      </c>
      <c r="B23" s="200" t="inlineStr">
        <is>
          <t>Other</t>
        </is>
      </c>
      <c r="C23" s="200" t="inlineStr">
        <is>
          <t>varsity tickets</t>
        </is>
      </c>
      <c r="D23" s="200" t="inlineStr">
        <is>
          <t>2026-07-02</t>
        </is>
      </c>
      <c r="E23" s="200" t="inlineStr">
        <is>
          <t>—</t>
        </is>
      </c>
      <c r="F23" s="200" t="inlineStr">
        <is>
          <t>Harish Bhat</t>
        </is>
      </c>
      <c r="G23" s="200" t="inlineStr">
        <is>
          <t>Online</t>
        </is>
      </c>
      <c r="H23" s="200" t="inlineStr">
        <is>
          <t>varsity tickets</t>
        </is>
      </c>
      <c r="I23" s="201" t="n">
        <v>0.25</v>
      </c>
    </row>
    <row r="24" ht="15.75" customHeight="1" s="156">
      <c r="A24" s="199" t="n">
        <v>18</v>
      </c>
      <c r="B24" s="200" t="inlineStr">
        <is>
          <t>Other</t>
        </is>
      </c>
      <c r="C24" s="200" t="inlineStr">
        <is>
          <t>varsity tickets</t>
        </is>
      </c>
      <c r="D24" s="200" t="inlineStr">
        <is>
          <t>2026-07-03</t>
        </is>
      </c>
      <c r="E24" s="200" t="inlineStr">
        <is>
          <t>—</t>
        </is>
      </c>
      <c r="F24" s="200" t="inlineStr">
        <is>
          <t>Harish Bhat</t>
        </is>
      </c>
      <c r="G24" s="200" t="inlineStr">
        <is>
          <t>Online</t>
        </is>
      </c>
      <c r="H24" s="200" t="inlineStr">
        <is>
          <t>varsity tickets</t>
        </is>
      </c>
      <c r="I24" s="201" t="n">
        <v>0.25</v>
      </c>
    </row>
    <row r="25" ht="15.75" customHeight="1" s="156">
      <c r="A25" s="199" t="n">
        <v>19</v>
      </c>
      <c r="B25" s="200" t="inlineStr">
        <is>
          <t>Support Training</t>
        </is>
      </c>
      <c r="C25" s="200" t="inlineStr">
        <is>
          <t>Drawing out training Need from the communicate 360 consolidated file</t>
        </is>
      </c>
      <c r="D25" s="200" t="inlineStr">
        <is>
          <t>2026-07-16</t>
        </is>
      </c>
      <c r="E25" s="200" t="inlineStr">
        <is>
          <t>—</t>
        </is>
      </c>
      <c r="F25" s="200" t="inlineStr">
        <is>
          <t>Freeda Reshma Dsouza</t>
        </is>
      </c>
      <c r="G25" s="200" t="inlineStr">
        <is>
          <t>Online</t>
        </is>
      </c>
      <c r="H25" s="200" t="inlineStr">
        <is>
          <t>TNI Prepartiion for Communicate 360</t>
        </is>
      </c>
      <c r="I25" s="201" t="n">
        <v>3.5</v>
      </c>
    </row>
    <row r="26" ht="15.75" customHeight="1" s="156">
      <c r="A26" s="199" t="n">
        <v>20</v>
      </c>
      <c r="B26" s="200" t="inlineStr">
        <is>
          <t>Support Training</t>
        </is>
      </c>
      <c r="C26" s="200" t="inlineStr">
        <is>
          <t>Drawing out training Need from the communicate 360 consolidated file</t>
        </is>
      </c>
      <c r="D26" s="200" t="inlineStr">
        <is>
          <t>2026-07-17</t>
        </is>
      </c>
      <c r="E26" s="200" t="inlineStr">
        <is>
          <t>—</t>
        </is>
      </c>
      <c r="F26" s="200" t="inlineStr">
        <is>
          <t>Freeda Reshma Dsouza</t>
        </is>
      </c>
      <c r="G26" s="200" t="inlineStr">
        <is>
          <t>Online</t>
        </is>
      </c>
      <c r="H26" s="200" t="inlineStr">
        <is>
          <t>TNI Prepartiion for Communicate 360</t>
        </is>
      </c>
      <c r="I26" s="201" t="n">
        <v>2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2026-07-23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1</v>
      </c>
    </row>
    <row r="28" ht="15.75" customHeight="1" s="156">
      <c r="A28" s="199" t="n">
        <v>22</v>
      </c>
      <c r="B28" s="200" t="inlineStr">
        <is>
          <t>Support Training</t>
        </is>
      </c>
      <c r="C28" s="200" t="inlineStr">
        <is>
          <t>Interview - New Hire</t>
        </is>
      </c>
      <c r="D28" s="200" t="inlineStr">
        <is>
          <t>2026-07-24</t>
        </is>
      </c>
      <c r="E28" s="200" t="inlineStr">
        <is>
          <t>—</t>
        </is>
      </c>
      <c r="F28" s="200" t="inlineStr">
        <is>
          <t>Freeda Reshma Dsouza</t>
        </is>
      </c>
      <c r="G28" s="200" t="inlineStr">
        <is>
          <t>Online</t>
        </is>
      </c>
      <c r="H28" s="200" t="inlineStr">
        <is>
          <t>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Candidates Interview</t>
        </is>
      </c>
      <c r="D29" s="200" t="inlineStr">
        <is>
          <t>2026-07-22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Candidates Interview</t>
        </is>
      </c>
      <c r="I29" s="201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Interview- New Hire</t>
        </is>
      </c>
      <c r="D30" s="200" t="inlineStr">
        <is>
          <t>2026-07-24</t>
        </is>
      </c>
      <c r="E30" s="200" t="inlineStr">
        <is>
          <t>—</t>
        </is>
      </c>
      <c r="F30" s="200" t="inlineStr">
        <is>
          <t>Freeda Reshma Dsouza</t>
        </is>
      </c>
      <c r="G30" s="200" t="inlineStr">
        <is>
          <t>Online</t>
        </is>
      </c>
      <c r="H30" s="200" t="inlineStr">
        <is>
          <t>Interview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Interview- New Hire</t>
        </is>
      </c>
      <c r="D31" s="200" t="inlineStr">
        <is>
          <t>2026-07-23</t>
        </is>
      </c>
      <c r="E31" s="200" t="inlineStr">
        <is>
          <t>—</t>
        </is>
      </c>
      <c r="F31" s="200" t="inlineStr">
        <is>
          <t>Freeda Reshma Dsouza</t>
        </is>
      </c>
      <c r="G31" s="200" t="inlineStr">
        <is>
          <t>Online</t>
        </is>
      </c>
      <c r="H31" s="200" t="inlineStr">
        <is>
          <t>Interview</t>
        </is>
      </c>
      <c r="I31" s="201" t="n">
        <v>1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Candidates Interview</t>
        </is>
      </c>
      <c r="D32" s="200" t="inlineStr">
        <is>
          <t>2026-07-21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Candidates Interview</t>
        </is>
      </c>
      <c r="I32" s="201" t="n">
        <v>1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Interview- New Hire</t>
        </is>
      </c>
      <c r="D33" s="200" t="inlineStr">
        <is>
          <t>2026-07-22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Interview</t>
        </is>
      </c>
      <c r="I33" s="201" t="n">
        <v>1</v>
      </c>
    </row>
    <row r="34" ht="15.75" customHeight="1" s="156">
      <c r="A34" s="199" t="n">
        <v>28</v>
      </c>
      <c r="B34" s="200" t="inlineStr">
        <is>
          <t>Support Training</t>
        </is>
      </c>
      <c r="C34" s="200" t="inlineStr">
        <is>
          <t>Interview- New Hire</t>
        </is>
      </c>
      <c r="D34" s="200" t="inlineStr">
        <is>
          <t>2026-07-20</t>
        </is>
      </c>
      <c r="E34" s="200" t="inlineStr">
        <is>
          <t>—</t>
        </is>
      </c>
      <c r="F34" s="200" t="inlineStr">
        <is>
          <t>Freeda Reshma Dsouza</t>
        </is>
      </c>
      <c r="G34" s="200" t="inlineStr">
        <is>
          <t>Online</t>
        </is>
      </c>
      <c r="H34" s="200" t="inlineStr">
        <is>
          <t>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NRI Session planner discussion</t>
        </is>
      </c>
      <c r="D35" s="200" t="inlineStr">
        <is>
          <t>2026-07-24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NRI Session planner discussion</t>
        </is>
      </c>
      <c r="I35" s="201" t="n">
        <v>1</v>
      </c>
    </row>
    <row r="36" ht="15.75" customHeight="1" s="156">
      <c r="A36" s="199" t="n">
        <v>30</v>
      </c>
      <c r="B36" s="200" t="inlineStr">
        <is>
          <t>Support Training</t>
        </is>
      </c>
      <c r="C36" s="200" t="inlineStr">
        <is>
          <t>Candidates Interview</t>
        </is>
      </c>
      <c r="D36" s="200" t="inlineStr">
        <is>
          <t>2026-07-24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Support Training</t>
        </is>
      </c>
      <c r="C37" s="200" t="inlineStr">
        <is>
          <t>Candidates Interview</t>
        </is>
      </c>
      <c r="D37" s="200" t="inlineStr">
        <is>
          <t>2026-07-24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QIP Manager meeting</t>
        </is>
      </c>
      <c r="D38" s="200" t="inlineStr">
        <is>
          <t>2026-07-24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QIP Manager meeting</t>
        </is>
      </c>
      <c r="I38" s="201" t="n">
        <v>1.1</v>
      </c>
    </row>
    <row r="39" ht="15.75" customHeight="1" s="156">
      <c r="A39" s="199" t="n">
        <v>33</v>
      </c>
      <c r="B39" s="200" t="inlineStr">
        <is>
          <t>Support Training</t>
        </is>
      </c>
      <c r="C39" s="200" t="inlineStr">
        <is>
          <t>3L &amp; Closing auction settlement session</t>
        </is>
      </c>
      <c r="D39" s="200" t="inlineStr">
        <is>
          <t>2026-07-24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3L &amp; Closing auction settlement session</t>
        </is>
      </c>
      <c r="I39" s="201" t="n">
        <v>1</v>
      </c>
    </row>
    <row r="40" ht="15.75" customHeight="1" s="156">
      <c r="A40" s="202" t="n">
        <v>34</v>
      </c>
      <c r="B40" s="203" t="inlineStr">
        <is>
          <t>Support Training</t>
        </is>
      </c>
      <c r="C40" s="203" t="inlineStr">
        <is>
          <t>3L &amp; Closing auction settlement session Preparation</t>
        </is>
      </c>
      <c r="D40" s="203" t="inlineStr">
        <is>
          <t>2026-07-23</t>
        </is>
      </c>
      <c r="E40" s="203" t="inlineStr">
        <is>
          <t>—</t>
        </is>
      </c>
      <c r="F40" s="203" t="inlineStr">
        <is>
          <t>Harish Bhat</t>
        </is>
      </c>
      <c r="G40" s="203" t="inlineStr">
        <is>
          <t>Offline</t>
        </is>
      </c>
      <c r="H40" s="203" t="inlineStr">
        <is>
          <t>3L &amp; Closing auction settlement session Preparation</t>
        </is>
      </c>
      <c r="I40" s="204" t="n">
        <v>4</v>
      </c>
    </row>
    <row r="41" ht="15.75" customHeight="1" s="156">
      <c r="A41" s="199" t="n">
        <v>35</v>
      </c>
      <c r="B41" s="200" t="inlineStr">
        <is>
          <t>Other</t>
        </is>
      </c>
      <c r="C41" s="200" t="inlineStr">
        <is>
          <t>Varsity blog &amp; Post updates</t>
        </is>
      </c>
      <c r="D41" s="200" t="inlineStr">
        <is>
          <t>2026-07-23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Varsity blog &amp; Post updates</t>
        </is>
      </c>
      <c r="I41" s="201" t="n">
        <v>1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lms tool testing for public exams</t>
        </is>
      </c>
      <c r="D42" s="200" t="inlineStr">
        <is>
          <t>2026-07-10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lms tool testing for public exams</t>
        </is>
      </c>
      <c r="I42" s="201" t="n">
        <v>2</v>
      </c>
    </row>
    <row r="43" ht="15.75" customHeight="1" s="156">
      <c r="A43" s="199" t="n">
        <v>37</v>
      </c>
      <c r="B43" s="200" t="inlineStr">
        <is>
          <t>Assessment</t>
        </is>
      </c>
      <c r="C43" s="200" t="inlineStr">
        <is>
          <t>lms tool testing for public exams</t>
        </is>
      </c>
      <c r="D43" s="200" t="inlineStr">
        <is>
          <t>2026-07-13</t>
        </is>
      </c>
      <c r="E43" s="200" t="inlineStr">
        <is>
          <t>—</t>
        </is>
      </c>
      <c r="F43" s="200" t="inlineStr">
        <is>
          <t>Harish Bhat</t>
        </is>
      </c>
      <c r="G43" s="200" t="inlineStr">
        <is>
          <t>Online</t>
        </is>
      </c>
      <c r="H43" s="200" t="inlineStr">
        <is>
          <t>lms tool testing for public exams</t>
        </is>
      </c>
      <c r="I43" s="201" t="n">
        <v>3</v>
      </c>
    </row>
    <row r="44" ht="15.75" customHeight="1" s="156">
      <c r="A44" s="199" t="n">
        <v>38</v>
      </c>
      <c r="B44" s="200" t="inlineStr">
        <is>
          <t>Support Training</t>
        </is>
      </c>
      <c r="C44" s="200" t="inlineStr">
        <is>
          <t>AML &amp; unsolicited session</t>
        </is>
      </c>
      <c r="D44" s="200" t="inlineStr">
        <is>
          <t>2026-07-24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AML &amp; unsolicited session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Assessment</t>
        </is>
      </c>
      <c r="C45" s="200" t="inlineStr">
        <is>
          <t>Monthly Test schedule</t>
        </is>
      </c>
      <c r="D45" s="200" t="inlineStr">
        <is>
          <t>2026-07-21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Monthly Test schedule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Closing Auction settlement preperation</t>
        </is>
      </c>
      <c r="D46" s="203" t="inlineStr">
        <is>
          <t>2026-07-17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Closing Auction settlement preperation</t>
        </is>
      </c>
      <c r="I46" s="204" t="n">
        <v>1</v>
      </c>
    </row>
    <row r="47" ht="15.75" customHeight="1" s="156">
      <c r="A47" s="199" t="n">
        <v>41</v>
      </c>
      <c r="B47" s="200" t="inlineStr">
        <is>
          <t>Support Training</t>
        </is>
      </c>
      <c r="C47" s="200" t="inlineStr">
        <is>
          <t>TNI Prepartiion for Communicate 360</t>
        </is>
      </c>
      <c r="D47" s="200" t="inlineStr">
        <is>
          <t>2026-07-17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TNI Prepartiion for Communicate 360</t>
        </is>
      </c>
      <c r="I47" s="201" t="n">
        <v>2</v>
      </c>
    </row>
    <row r="48" ht="15.75" customHeight="1" s="156">
      <c r="A48" s="199" t="n">
        <v>42</v>
      </c>
      <c r="B48" s="200" t="inlineStr">
        <is>
          <t>Support Training</t>
        </is>
      </c>
      <c r="C48" s="200" t="inlineStr">
        <is>
          <t>TNI Prepartiion for Communicate 360</t>
        </is>
      </c>
      <c r="D48" s="200" t="inlineStr">
        <is>
          <t>2026-07-16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TNI Prepartiion for Communicate 360</t>
        </is>
      </c>
      <c r="I48" s="201" t="n">
        <v>3.5</v>
      </c>
    </row>
    <row r="49" ht="15.75" customHeight="1" s="156">
      <c r="A49" s="199" t="n">
        <v>43</v>
      </c>
      <c r="B49" s="200" t="inlineStr">
        <is>
          <t>Assessment</t>
        </is>
      </c>
      <c r="C49" s="200" t="inlineStr">
        <is>
          <t>Interview test conduct</t>
        </is>
      </c>
      <c r="D49" s="200" t="inlineStr">
        <is>
          <t>2026-07-15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Interview test conduct</t>
        </is>
      </c>
      <c r="I49" s="201" t="n">
        <v>2</v>
      </c>
    </row>
    <row r="50" ht="15.75" customHeight="1" s="156">
      <c r="A50" s="199" t="n">
        <v>44</v>
      </c>
      <c r="B50" s="200" t="inlineStr">
        <is>
          <t>Support Training</t>
        </is>
      </c>
      <c r="C50" s="200" t="inlineStr">
        <is>
          <t>Interview question Paper preperation</t>
        </is>
      </c>
      <c r="D50" s="200" t="inlineStr">
        <is>
          <t>2026-07-14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Interview question Paper preperation</t>
        </is>
      </c>
      <c r="I50" s="201" t="n">
        <v>1</v>
      </c>
    </row>
    <row r="51" ht="15.75" customHeight="1" s="156">
      <c r="A51" s="202" t="n">
        <v>45</v>
      </c>
      <c r="B51" s="203" t="inlineStr">
        <is>
          <t>Other</t>
        </is>
      </c>
      <c r="C51" s="203" t="inlineStr">
        <is>
          <t>varsity tickets</t>
        </is>
      </c>
      <c r="D51" s="203" t="inlineStr">
        <is>
          <t>2026-07-14</t>
        </is>
      </c>
      <c r="E51" s="203" t="inlineStr">
        <is>
          <t>—</t>
        </is>
      </c>
      <c r="F51" s="203" t="inlineStr">
        <is>
          <t>Harish Bhat</t>
        </is>
      </c>
      <c r="G51" s="203" t="inlineStr">
        <is>
          <t>Offline</t>
        </is>
      </c>
      <c r="H51" s="203" t="inlineStr">
        <is>
          <t>varsity tickets</t>
        </is>
      </c>
      <c r="I51" s="204" t="n">
        <v>0.25</v>
      </c>
    </row>
    <row r="52" ht="15.75" customHeight="1" s="156">
      <c r="A52" s="202" t="n">
        <v>46</v>
      </c>
      <c r="B52" s="203" t="inlineStr">
        <is>
          <t>Other</t>
        </is>
      </c>
      <c r="C52" s="203" t="inlineStr">
        <is>
          <t>varsity tickets</t>
        </is>
      </c>
      <c r="D52" s="203" t="inlineStr">
        <is>
          <t>2026-07-15</t>
        </is>
      </c>
      <c r="E52" s="203" t="inlineStr">
        <is>
          <t>—</t>
        </is>
      </c>
      <c r="F52" s="203" t="inlineStr">
        <is>
          <t>Harish Bhat</t>
        </is>
      </c>
      <c r="G52" s="203" t="inlineStr">
        <is>
          <t>Offline</t>
        </is>
      </c>
      <c r="H52" s="203" t="inlineStr">
        <is>
          <t>varsity tickets</t>
        </is>
      </c>
      <c r="I52" s="204" t="n">
        <v>0.25</v>
      </c>
    </row>
    <row r="53" ht="15.75" customHeight="1" s="156">
      <c r="A53" s="202" t="n">
        <v>47</v>
      </c>
      <c r="B53" s="203" t="inlineStr">
        <is>
          <t>Other</t>
        </is>
      </c>
      <c r="C53" s="203" t="inlineStr">
        <is>
          <t>varsity tickets</t>
        </is>
      </c>
      <c r="D53" s="203" t="inlineStr">
        <is>
          <t>2026-07-06</t>
        </is>
      </c>
      <c r="E53" s="203" t="inlineStr">
        <is>
          <t>—</t>
        </is>
      </c>
      <c r="F53" s="203" t="inlineStr">
        <is>
          <t>Harish Bhat</t>
        </is>
      </c>
      <c r="G53" s="203" t="inlineStr">
        <is>
          <t>Offline</t>
        </is>
      </c>
      <c r="H53" s="203" t="inlineStr">
        <is>
          <t>varsity tickets</t>
        </is>
      </c>
      <c r="I53" s="204" t="n">
        <v>0.25</v>
      </c>
    </row>
    <row r="54" ht="15.75" customHeight="1" s="156">
      <c r="A54" s="202" t="n">
        <v>48</v>
      </c>
      <c r="B54" s="203" t="inlineStr">
        <is>
          <t>Other</t>
        </is>
      </c>
      <c r="C54" s="203" t="inlineStr">
        <is>
          <t>varsity tickets</t>
        </is>
      </c>
      <c r="D54" s="203" t="inlineStr">
        <is>
          <t>2026-07-07</t>
        </is>
      </c>
      <c r="E54" s="203" t="inlineStr">
        <is>
          <t>—</t>
        </is>
      </c>
      <c r="F54" s="203" t="inlineStr">
        <is>
          <t>Harish Bhat</t>
        </is>
      </c>
      <c r="G54" s="203" t="inlineStr">
        <is>
          <t>Offline</t>
        </is>
      </c>
      <c r="H54" s="203" t="inlineStr">
        <is>
          <t>varsity tickets</t>
        </is>
      </c>
      <c r="I54" s="204" t="n">
        <v>0.25</v>
      </c>
    </row>
    <row r="55" ht="15.75" customHeight="1" s="156">
      <c r="A55" s="202" t="n">
        <v>49</v>
      </c>
      <c r="B55" s="203" t="inlineStr">
        <is>
          <t>Other</t>
        </is>
      </c>
      <c r="C55" s="203" t="inlineStr">
        <is>
          <t>varsity tickets</t>
        </is>
      </c>
      <c r="D55" s="203" t="inlineStr">
        <is>
          <t>2026-07-08</t>
        </is>
      </c>
      <c r="E55" s="203" t="inlineStr">
        <is>
          <t>—</t>
        </is>
      </c>
      <c r="F55" s="203" t="inlineStr">
        <is>
          <t>Harish Bhat</t>
        </is>
      </c>
      <c r="G55" s="203" t="inlineStr">
        <is>
          <t>Offline</t>
        </is>
      </c>
      <c r="H55" s="203" t="inlineStr">
        <is>
          <t>varsity tickets</t>
        </is>
      </c>
      <c r="I55" s="204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2026-07-09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202" t="n">
        <v>51</v>
      </c>
      <c r="B57" s="203" t="inlineStr">
        <is>
          <t>Other</t>
        </is>
      </c>
      <c r="C57" s="203" t="inlineStr">
        <is>
          <t>varsity tickets</t>
        </is>
      </c>
      <c r="D57" s="203" t="inlineStr">
        <is>
          <t>2026-07-10</t>
        </is>
      </c>
      <c r="E57" s="203" t="inlineStr">
        <is>
          <t>—</t>
        </is>
      </c>
      <c r="F57" s="203" t="inlineStr">
        <is>
          <t>Harish Bhat</t>
        </is>
      </c>
      <c r="G57" s="203" t="inlineStr">
        <is>
          <t>Offline</t>
        </is>
      </c>
      <c r="H57" s="203" t="inlineStr">
        <is>
          <t>varsity tickets</t>
        </is>
      </c>
      <c r="I57" s="204" t="n">
        <v>0.25</v>
      </c>
    </row>
    <row r="58" ht="15.75" customHeight="1" s="156">
      <c r="A58" s="202" t="n">
        <v>52</v>
      </c>
      <c r="B58" s="203" t="inlineStr">
        <is>
          <t>Other</t>
        </is>
      </c>
      <c r="C58" s="203" t="inlineStr">
        <is>
          <t>varsity tickets</t>
        </is>
      </c>
      <c r="D58" s="203" t="inlineStr">
        <is>
          <t>2026-07-13</t>
        </is>
      </c>
      <c r="E58" s="203" t="inlineStr">
        <is>
          <t>—</t>
        </is>
      </c>
      <c r="F58" s="203" t="inlineStr">
        <is>
          <t>Harish Bhat</t>
        </is>
      </c>
      <c r="G58" s="203" t="inlineStr">
        <is>
          <t>Offline</t>
        </is>
      </c>
      <c r="H58" s="203" t="inlineStr">
        <is>
          <t>varsity tickets</t>
        </is>
      </c>
      <c r="I58" s="204" t="n">
        <v>0.25</v>
      </c>
    </row>
    <row r="59" ht="15.75" customHeight="1" s="156">
      <c r="A59" s="202" t="n">
        <v>53</v>
      </c>
      <c r="B59" s="203" t="inlineStr">
        <is>
          <t>Other</t>
        </is>
      </c>
      <c r="C59" s="203" t="inlineStr">
        <is>
          <t>varsity tickets</t>
        </is>
      </c>
      <c r="D59" s="203" t="inlineStr">
        <is>
          <t>2026-07-16</t>
        </is>
      </c>
      <c r="E59" s="203" t="inlineStr">
        <is>
          <t>—</t>
        </is>
      </c>
      <c r="F59" s="203" t="inlineStr">
        <is>
          <t>Harish Bhat</t>
        </is>
      </c>
      <c r="G59" s="203" t="inlineStr">
        <is>
          <t>Offline</t>
        </is>
      </c>
      <c r="H59" s="203" t="inlineStr">
        <is>
          <t>varsity tickets</t>
        </is>
      </c>
      <c r="I59" s="204" t="n">
        <v>0.25</v>
      </c>
    </row>
    <row r="60" ht="15.75" customHeight="1" s="156">
      <c r="A60" s="202" t="n">
        <v>54</v>
      </c>
      <c r="B60" s="203" t="inlineStr">
        <is>
          <t>Other</t>
        </is>
      </c>
      <c r="C60" s="203" t="inlineStr">
        <is>
          <t>varsity tickets</t>
        </is>
      </c>
      <c r="D60" s="203" t="inlineStr">
        <is>
          <t>2026-07-17</t>
        </is>
      </c>
      <c r="E60" s="203" t="inlineStr">
        <is>
          <t>—</t>
        </is>
      </c>
      <c r="F60" s="203" t="inlineStr">
        <is>
          <t>Harish Bhat</t>
        </is>
      </c>
      <c r="G60" s="203" t="inlineStr">
        <is>
          <t>Offline</t>
        </is>
      </c>
      <c r="H60" s="203" t="inlineStr">
        <is>
          <t>varsity tickets</t>
        </is>
      </c>
      <c r="I60" s="204" t="n">
        <v>0.25</v>
      </c>
    </row>
    <row r="61" ht="15.75" customHeight="1" s="156">
      <c r="A61" s="202" t="n">
        <v>55</v>
      </c>
      <c r="B61" s="203" t="inlineStr">
        <is>
          <t>Other</t>
        </is>
      </c>
      <c r="C61" s="203" t="inlineStr">
        <is>
          <t>varsity tickets</t>
        </is>
      </c>
      <c r="D61" s="203" t="inlineStr">
        <is>
          <t>2026-07-20</t>
        </is>
      </c>
      <c r="E61" s="203" t="inlineStr">
        <is>
          <t>—</t>
        </is>
      </c>
      <c r="F61" s="203" t="inlineStr">
        <is>
          <t>Harish Bhat</t>
        </is>
      </c>
      <c r="G61" s="203" t="inlineStr">
        <is>
          <t>Offline</t>
        </is>
      </c>
      <c r="H61" s="203" t="inlineStr">
        <is>
          <t>varsity tickets</t>
        </is>
      </c>
      <c r="I61" s="204" t="n">
        <v>0.25</v>
      </c>
    </row>
    <row r="62" ht="15.75" customHeight="1" s="156">
      <c r="A62" s="202" t="n">
        <v>56</v>
      </c>
      <c r="B62" s="203" t="inlineStr">
        <is>
          <t>Other</t>
        </is>
      </c>
      <c r="C62" s="203" t="inlineStr">
        <is>
          <t>varsity tickets</t>
        </is>
      </c>
      <c r="D62" s="203" t="inlineStr">
        <is>
          <t>2026-07-21</t>
        </is>
      </c>
      <c r="E62" s="203" t="inlineStr">
        <is>
          <t>—</t>
        </is>
      </c>
      <c r="F62" s="203" t="inlineStr">
        <is>
          <t>Harish Bhat</t>
        </is>
      </c>
      <c r="G62" s="203" t="inlineStr">
        <is>
          <t>Offline</t>
        </is>
      </c>
      <c r="H62" s="203" t="inlineStr">
        <is>
          <t>varsity tickets</t>
        </is>
      </c>
      <c r="I62" s="204" t="n">
        <v>0.25</v>
      </c>
    </row>
    <row r="63" ht="15.75" customHeight="1" s="156">
      <c r="A63" s="202" t="n">
        <v>57</v>
      </c>
      <c r="B63" s="203" t="inlineStr">
        <is>
          <t>Other</t>
        </is>
      </c>
      <c r="C63" s="203" t="inlineStr">
        <is>
          <t>varsity tickets</t>
        </is>
      </c>
      <c r="D63" s="203" t="inlineStr">
        <is>
          <t>2026-07-22</t>
        </is>
      </c>
      <c r="E63" s="203" t="inlineStr">
        <is>
          <t>—</t>
        </is>
      </c>
      <c r="F63" s="203" t="inlineStr">
        <is>
          <t>Harish Bhat</t>
        </is>
      </c>
      <c r="G63" s="203" t="inlineStr">
        <is>
          <t>Offline</t>
        </is>
      </c>
      <c r="H63" s="203" t="inlineStr">
        <is>
          <t>varsity tickets</t>
        </is>
      </c>
      <c r="I63" s="204" t="n">
        <v>0.25</v>
      </c>
    </row>
    <row r="64" ht="15.75" customHeight="1" s="156">
      <c r="A64" s="202" t="n">
        <v>58</v>
      </c>
      <c r="B64" s="203" t="inlineStr">
        <is>
          <t>Other</t>
        </is>
      </c>
      <c r="C64" s="203" t="inlineStr">
        <is>
          <t>varsity tickets</t>
        </is>
      </c>
      <c r="D64" s="203" t="inlineStr">
        <is>
          <t>2026-07-23</t>
        </is>
      </c>
      <c r="E64" s="203" t="inlineStr">
        <is>
          <t>—</t>
        </is>
      </c>
      <c r="F64" s="203" t="inlineStr">
        <is>
          <t>Harish Bhat</t>
        </is>
      </c>
      <c r="G64" s="203" t="inlineStr">
        <is>
          <t>Offline</t>
        </is>
      </c>
      <c r="H64" s="203" t="inlineStr">
        <is>
          <t>varsity tickets</t>
        </is>
      </c>
      <c r="I64" s="204" t="n">
        <v>0.25</v>
      </c>
    </row>
    <row r="65" ht="15.75" customHeight="1" s="156">
      <c r="A65" s="202" t="n">
        <v>59</v>
      </c>
      <c r="B65" s="203" t="inlineStr">
        <is>
          <t>Other</t>
        </is>
      </c>
      <c r="C65" s="203" t="inlineStr">
        <is>
          <t>varsity tickets</t>
        </is>
      </c>
      <c r="D65" s="203" t="inlineStr">
        <is>
          <t>2026-07-24</t>
        </is>
      </c>
      <c r="E65" s="203" t="inlineStr">
        <is>
          <t>—</t>
        </is>
      </c>
      <c r="F65" s="203" t="inlineStr">
        <is>
          <t>Harish Bhat</t>
        </is>
      </c>
      <c r="G65" s="203" t="inlineStr">
        <is>
          <t>Offline</t>
        </is>
      </c>
      <c r="H65" s="203" t="inlineStr">
        <is>
          <t>varsity tickets</t>
        </is>
      </c>
      <c r="I65" s="204" t="n">
        <v>0.25</v>
      </c>
    </row>
    <row r="66" ht="15.75" customHeight="1" s="156">
      <c r="A66" s="199" t="n">
        <v>60</v>
      </c>
      <c r="B66" s="200" t="inlineStr">
        <is>
          <t>Support Training</t>
        </is>
      </c>
      <c r="C66" s="200" t="inlineStr">
        <is>
          <t>Interview- New Hire</t>
        </is>
      </c>
      <c r="D66" s="200" t="inlineStr">
        <is>
          <t>2026-07-27</t>
        </is>
      </c>
      <c r="E66" s="200" t="inlineStr">
        <is>
          <t>—</t>
        </is>
      </c>
      <c r="F66" s="200" t="inlineStr">
        <is>
          <t>Freeda Reshma Dsouza</t>
        </is>
      </c>
      <c r="G66" s="200" t="inlineStr">
        <is>
          <t>Online</t>
        </is>
      </c>
      <c r="H66" s="200" t="inlineStr">
        <is>
          <t>Interview</t>
        </is>
      </c>
      <c r="I66" s="201" t="n">
        <v>1</v>
      </c>
    </row>
    <row r="67" ht="15.75" customHeight="1" s="156">
      <c r="A67" s="199" t="n">
        <v>61</v>
      </c>
      <c r="B67" s="200" t="inlineStr">
        <is>
          <t>Other</t>
        </is>
      </c>
      <c r="C67" s="200" t="inlineStr">
        <is>
          <t>NRI session planner</t>
        </is>
      </c>
      <c r="D67" s="200" t="inlineStr">
        <is>
          <t>2026-07-24</t>
        </is>
      </c>
      <c r="E67" s="200" t="inlineStr">
        <is>
          <t>—</t>
        </is>
      </c>
      <c r="F67" s="200" t="inlineStr">
        <is>
          <t>Girish A</t>
        </is>
      </c>
      <c r="G67" s="200" t="inlineStr">
        <is>
          <t>Online</t>
        </is>
      </c>
      <c r="H67" s="200" t="inlineStr">
        <is>
          <t>NRI session planner</t>
        </is>
      </c>
      <c r="I67" s="201" t="n">
        <v>1</v>
      </c>
    </row>
    <row r="68" ht="15.75" customHeight="1" s="156">
      <c r="A68" s="199" t="n">
        <v>62</v>
      </c>
      <c r="B68" s="200" t="inlineStr">
        <is>
          <t>Other</t>
        </is>
      </c>
      <c r="C68" s="200" t="inlineStr">
        <is>
          <t>QIP Manager Meeting</t>
        </is>
      </c>
      <c r="D68" s="200" t="inlineStr">
        <is>
          <t>2026-07-24</t>
        </is>
      </c>
      <c r="E68" s="200" t="inlineStr">
        <is>
          <t>—</t>
        </is>
      </c>
      <c r="F68" s="200" t="inlineStr">
        <is>
          <t>Girish A</t>
        </is>
      </c>
      <c r="G68" s="200" t="inlineStr">
        <is>
          <t>Online</t>
        </is>
      </c>
      <c r="H68" s="200" t="inlineStr">
        <is>
          <t>QIP Manager Meeting</t>
        </is>
      </c>
      <c r="I68" s="201" t="n">
        <v>1.1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AML &amp; unsolicited Session</t>
        </is>
      </c>
      <c r="D69" s="200" t="inlineStr">
        <is>
          <t>2026-07-24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AML &amp; unsolicited Session</t>
        </is>
      </c>
      <c r="I69" s="201" t="n">
        <v>1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Interview</t>
        </is>
      </c>
      <c r="D70" s="200" t="inlineStr">
        <is>
          <t>2026-07-20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Interview</t>
        </is>
      </c>
      <c r="I70" s="201" t="n">
        <v>1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Interview</t>
        </is>
      </c>
      <c r="D71" s="200" t="inlineStr">
        <is>
          <t>2026-07-21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Interview</t>
        </is>
      </c>
      <c r="I71" s="201" t="n">
        <v>1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Interview</t>
        </is>
      </c>
      <c r="D72" s="200" t="inlineStr">
        <is>
          <t>2026-07-24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Interview</t>
        </is>
      </c>
      <c r="I72" s="201" t="n">
        <v>0.25</v>
      </c>
    </row>
    <row r="73" ht="15.75" customHeight="1" s="156">
      <c r="A73" s="199" t="n">
        <v>67</v>
      </c>
      <c r="B73" s="200" t="inlineStr">
        <is>
          <t>Assessment</t>
        </is>
      </c>
      <c r="C73" s="200" t="inlineStr">
        <is>
          <t>Interview Test Conduct</t>
        </is>
      </c>
      <c r="D73" s="200" t="inlineStr">
        <is>
          <t>2026-07-15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Interview Test Conduct</t>
        </is>
      </c>
      <c r="I73" s="201" t="n">
        <v>2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Closing auction settlement session</t>
        </is>
      </c>
      <c r="D74" s="200" t="inlineStr">
        <is>
          <t>2026-07-27</t>
        </is>
      </c>
      <c r="E74" s="200" t="inlineStr">
        <is>
          <t>—</t>
        </is>
      </c>
      <c r="F74" s="200" t="inlineStr">
        <is>
          <t>Harish Bhat</t>
        </is>
      </c>
      <c r="G74" s="200" t="inlineStr">
        <is>
          <t>Online</t>
        </is>
      </c>
      <c r="H74" s="200" t="inlineStr">
        <is>
          <t>Closing auction settlement session</t>
        </is>
      </c>
      <c r="I74" s="201" t="n">
        <v>1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Candidates Interview</t>
        </is>
      </c>
      <c r="D75" s="200" t="inlineStr">
        <is>
          <t>2026-07-27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Assessment</t>
        </is>
      </c>
      <c r="C76" s="200" t="inlineStr">
        <is>
          <t>CAS test</t>
        </is>
      </c>
      <c r="D76" s="200" t="inlineStr">
        <is>
          <t>2026-07-28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CAS test</t>
        </is>
      </c>
      <c r="I76" s="201" t="n">
        <v>0.5</v>
      </c>
    </row>
    <row r="77" ht="15.75" customHeight="1" s="156">
      <c r="A77" s="199" t="n">
        <v>71</v>
      </c>
      <c r="B77" s="200" t="inlineStr">
        <is>
          <t>Other</t>
        </is>
      </c>
      <c r="C77" s="200" t="inlineStr">
        <is>
          <t>varsity tickets</t>
        </is>
      </c>
      <c r="D77" s="200" t="inlineStr">
        <is>
          <t>2026-07-27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varsity tickets</t>
        </is>
      </c>
      <c r="I77" s="201" t="n">
        <v>0.25</v>
      </c>
    </row>
    <row r="78" ht="15.75" customHeight="1" s="156">
      <c r="A78" s="199" t="n">
        <v>72</v>
      </c>
      <c r="B78" s="200" t="inlineStr">
        <is>
          <t>Other</t>
        </is>
      </c>
      <c r="C78" s="200" t="inlineStr">
        <is>
          <t>varsity tickets</t>
        </is>
      </c>
      <c r="D78" s="200" t="inlineStr">
        <is>
          <t>2026-07-28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varsity tickets</t>
        </is>
      </c>
      <c r="I78" s="201" t="n">
        <v>0.25</v>
      </c>
    </row>
    <row r="79" ht="15.75" customHeight="1" s="156">
      <c r="A79" s="199" t="n">
        <v>73</v>
      </c>
      <c r="B79" s="200" t="inlineStr">
        <is>
          <t>Other</t>
        </is>
      </c>
      <c r="C79" s="200" t="inlineStr">
        <is>
          <t>varsity tickets</t>
        </is>
      </c>
      <c r="D79" s="200" t="inlineStr">
        <is>
          <t>2026-07-29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varsity tickets</t>
        </is>
      </c>
      <c r="I79" s="201" t="n">
        <v>0.25</v>
      </c>
    </row>
    <row r="80" ht="15.75" customHeight="1" s="156">
      <c r="A80" s="199" t="n">
        <v>74</v>
      </c>
      <c r="B80" s="200" t="inlineStr">
        <is>
          <t>Other</t>
        </is>
      </c>
      <c r="C80" s="200" t="inlineStr">
        <is>
          <t>varsity tickets</t>
        </is>
      </c>
      <c r="D80" s="200" t="inlineStr">
        <is>
          <t>2026-07-31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varsity tickets</t>
        </is>
      </c>
      <c r="I80" s="201" t="n">
        <v>0.25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Knowledge reinforcement session Preperation</t>
        </is>
      </c>
      <c r="D81" s="200" t="inlineStr">
        <is>
          <t>2026-07-28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Knowledge reinforcement session Preperation</t>
        </is>
      </c>
      <c r="I81" s="201" t="n">
        <v>6</v>
      </c>
    </row>
    <row r="82" ht="15.75" customHeight="1" s="156">
      <c r="A82" s="199" t="n">
        <v>76</v>
      </c>
      <c r="B82" s="200" t="inlineStr">
        <is>
          <t>Support Training</t>
        </is>
      </c>
      <c r="C82" s="200" t="inlineStr">
        <is>
          <t>Knowledge reinforcement session - Short delivery</t>
        </is>
      </c>
      <c r="D82" s="200" t="inlineStr">
        <is>
          <t>2026-07-29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Knowledge reinforcement session - Short delivery</t>
        </is>
      </c>
      <c r="I82" s="201" t="n">
        <v>1.5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Knowledge reinforcement session - Short delivery</t>
        </is>
      </c>
      <c r="D83" s="200" t="inlineStr">
        <is>
          <t>2026-07-29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Knowledge reinforcement session - Short delivery</t>
        </is>
      </c>
      <c r="I83" s="201" t="n">
        <v>1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Knowledge reinforcement session - Short delivery</t>
        </is>
      </c>
      <c r="D84" s="200" t="inlineStr">
        <is>
          <t>2026-07-30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Knowledge reinforcement session - Short delivery</t>
        </is>
      </c>
      <c r="I84" s="201" t="n">
        <v>1</v>
      </c>
    </row>
    <row r="85" ht="15.75" customHeight="1" s="156">
      <c r="A85" s="199" t="n">
        <v>79</v>
      </c>
      <c r="B85" s="200" t="inlineStr">
        <is>
          <t>Support Training</t>
        </is>
      </c>
      <c r="C85" s="200" t="inlineStr">
        <is>
          <t>Knowledge reinforcement session - Short delivery</t>
        </is>
      </c>
      <c r="D85" s="200" t="inlineStr">
        <is>
          <t>2026-07-30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Knowledge reinforcement session - Short delivery</t>
        </is>
      </c>
      <c r="I85" s="201" t="n">
        <v>1</v>
      </c>
    </row>
    <row r="86" ht="15.75" customHeight="1" s="156">
      <c r="A86" s="199" t="n">
        <v>80</v>
      </c>
      <c r="B86" s="200" t="inlineStr">
        <is>
          <t>Support Training</t>
        </is>
      </c>
      <c r="C86" s="200" t="inlineStr">
        <is>
          <t>Knowledge reinforcement session - MTF</t>
        </is>
      </c>
      <c r="D86" s="200" t="inlineStr">
        <is>
          <t>2026-07-30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Knowledge reinforcement session - MTF</t>
        </is>
      </c>
      <c r="I86" s="201" t="n">
        <v>1.5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2026-07-30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Support Training</t>
        </is>
      </c>
      <c r="C88" s="200" t="inlineStr">
        <is>
          <t>Knowledge reinforcement session - MTF</t>
        </is>
      </c>
      <c r="D88" s="200" t="inlineStr">
        <is>
          <t>2026-07-31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Knowledge reinforcement session - MTF</t>
        </is>
      </c>
      <c r="I88" s="201" t="n">
        <v>1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Knowledge reinforcement session - MTF</t>
        </is>
      </c>
      <c r="D89" s="200" t="inlineStr">
        <is>
          <t>2026-07-31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Knowledge reinforcement session - MTF</t>
        </is>
      </c>
      <c r="I89" s="201" t="n">
        <v>1</v>
      </c>
    </row>
    <row r="90" ht="15.75" customHeight="1" s="156">
      <c r="A90" s="199" t="n">
        <v>84</v>
      </c>
      <c r="B90" s="200" t="inlineStr">
        <is>
          <t>Support Training</t>
        </is>
      </c>
      <c r="C90" s="200" t="inlineStr">
        <is>
          <t>Knowledge reinforcement session - MTF</t>
        </is>
      </c>
      <c r="D90" s="200" t="inlineStr">
        <is>
          <t>2026-07-31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Knowledge reinforcement session - MTF</t>
        </is>
      </c>
      <c r="I90" s="201" t="n">
        <v>1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QSB training data Preparation</t>
        </is>
      </c>
      <c r="D91" s="200" t="inlineStr">
        <is>
          <t>2026-07-14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QSB training data Preparation</t>
        </is>
      </c>
      <c r="I91" s="201" t="n">
        <v>4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OJT</t>
        </is>
      </c>
      <c r="D92" s="200" t="inlineStr">
        <is>
          <t>2026-07-03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OJT</t>
        </is>
      </c>
      <c r="I92" s="201" t="n">
        <v>1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NRI OJT</t>
        </is>
      </c>
      <c r="D93" s="200" t="inlineStr">
        <is>
          <t>2026-07-06</t>
        </is>
      </c>
      <c r="E93" s="200" t="inlineStr">
        <is>
          <t>—</t>
        </is>
      </c>
      <c r="F93" s="200" t="inlineStr">
        <is>
          <t>Girish A</t>
        </is>
      </c>
      <c r="G93" s="200" t="inlineStr">
        <is>
          <t>Online</t>
        </is>
      </c>
      <c r="H93" s="200" t="inlineStr">
        <is>
          <t>NRI OJT</t>
        </is>
      </c>
      <c r="I93" s="201" t="n">
        <v>1.5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Closing Auction Settlement preperation</t>
        </is>
      </c>
      <c r="D94" s="200" t="inlineStr">
        <is>
          <t>2026-07-17</t>
        </is>
      </c>
      <c r="E94" s="200" t="inlineStr">
        <is>
          <t>—</t>
        </is>
      </c>
      <c r="F94" s="200" t="inlineStr">
        <is>
          <t>Girish A</t>
        </is>
      </c>
      <c r="G94" s="200" t="inlineStr">
        <is>
          <t>Online</t>
        </is>
      </c>
      <c r="H94" s="200" t="inlineStr">
        <is>
          <t>Closing Auction Settlement preperation</t>
        </is>
      </c>
      <c r="I94" s="201" t="n">
        <v>1</v>
      </c>
    </row>
    <row r="95" ht="15.75" customHeight="1" s="156">
      <c r="A95" s="199" t="n">
        <v>89</v>
      </c>
      <c r="B95" s="200" t="inlineStr">
        <is>
          <t>Support Training</t>
        </is>
      </c>
      <c r="C95" s="200" t="inlineStr">
        <is>
          <t>Knowledge reinforcement session - Short delivery</t>
        </is>
      </c>
      <c r="D95" s="200" t="inlineStr">
        <is>
          <t>2026-07-29</t>
        </is>
      </c>
      <c r="E95" s="200" t="inlineStr">
        <is>
          <t>—</t>
        </is>
      </c>
      <c r="F95" s="200" t="inlineStr">
        <is>
          <t>Girish A</t>
        </is>
      </c>
      <c r="G95" s="200" t="inlineStr">
        <is>
          <t>Online</t>
        </is>
      </c>
      <c r="H95" s="200" t="inlineStr">
        <is>
          <t>Knowledge reinforcement session - Short delivery</t>
        </is>
      </c>
      <c r="I95" s="201" t="n">
        <v>1.5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Knowledge reinforcement session preperation</t>
        </is>
      </c>
      <c r="D96" s="200" t="inlineStr">
        <is>
          <t>2026-07-28</t>
        </is>
      </c>
      <c r="E96" s="200" t="inlineStr">
        <is>
          <t>—</t>
        </is>
      </c>
      <c r="F96" s="200" t="inlineStr">
        <is>
          <t>Girish A</t>
        </is>
      </c>
      <c r="G96" s="200" t="inlineStr">
        <is>
          <t>Online</t>
        </is>
      </c>
      <c r="H96" s="200" t="inlineStr">
        <is>
          <t>Knowledge reinforcement session preperation</t>
        </is>
      </c>
      <c r="I96" s="201" t="n">
        <v>6</v>
      </c>
    </row>
    <row r="97" ht="15.75" customHeight="1" s="156">
      <c r="A97" s="199" t="n">
        <v>91</v>
      </c>
      <c r="B97" s="200" t="inlineStr">
        <is>
          <t>Support Training</t>
        </is>
      </c>
      <c r="C97" s="200" t="inlineStr">
        <is>
          <t>Knowledge reinforcement session - Short delivery</t>
        </is>
      </c>
      <c r="D97" s="200" t="inlineStr">
        <is>
          <t>2026-07-30</t>
        </is>
      </c>
      <c r="E97" s="200" t="inlineStr">
        <is>
          <t>—</t>
        </is>
      </c>
      <c r="F97" s="200" t="inlineStr">
        <is>
          <t>Girish A</t>
        </is>
      </c>
      <c r="G97" s="200" t="inlineStr">
        <is>
          <t>Online</t>
        </is>
      </c>
      <c r="H97" s="200" t="inlineStr">
        <is>
          <t>Knowledge reinforcement session - Short delivery</t>
        </is>
      </c>
      <c r="I97" s="201" t="n">
        <v>1</v>
      </c>
    </row>
    <row r="98" ht="15.75" customHeight="1" s="156">
      <c r="A98" s="199" t="n">
        <v>92</v>
      </c>
      <c r="B98" s="200" t="inlineStr">
        <is>
          <t>Support Training</t>
        </is>
      </c>
      <c r="C98" s="200" t="inlineStr">
        <is>
          <t>Knowledge reinforcement session - MTF</t>
        </is>
      </c>
      <c r="D98" s="200" t="inlineStr">
        <is>
          <t>2026-07-30</t>
        </is>
      </c>
      <c r="E98" s="200" t="inlineStr">
        <is>
          <t>—</t>
        </is>
      </c>
      <c r="F98" s="200" t="inlineStr">
        <is>
          <t>Girish A</t>
        </is>
      </c>
      <c r="G98" s="200" t="inlineStr">
        <is>
          <t>Online</t>
        </is>
      </c>
      <c r="H98" s="200" t="inlineStr">
        <is>
          <t>Knowledge reinforcement session - MTF</t>
        </is>
      </c>
      <c r="I98" s="201" t="n">
        <v>1.5</v>
      </c>
    </row>
    <row r="99" ht="15.75" customHeight="1" s="156">
      <c r="A99" s="199" t="n">
        <v>93</v>
      </c>
      <c r="B99" s="200" t="inlineStr">
        <is>
          <t>Support Training</t>
        </is>
      </c>
      <c r="C99" s="200" t="inlineStr">
        <is>
          <t>Knowledge reinforcement session - MTF</t>
        </is>
      </c>
      <c r="D99" s="200" t="inlineStr">
        <is>
          <t>2026-07-31</t>
        </is>
      </c>
      <c r="E99" s="200" t="inlineStr">
        <is>
          <t>—</t>
        </is>
      </c>
      <c r="F99" s="200" t="inlineStr">
        <is>
          <t>Girish A</t>
        </is>
      </c>
      <c r="G99" s="200" t="inlineStr">
        <is>
          <t>Online</t>
        </is>
      </c>
      <c r="H99" s="200" t="inlineStr">
        <is>
          <t>Knowledge reinforcement session - MTF</t>
        </is>
      </c>
      <c r="I99" s="201" t="n">
        <v>1</v>
      </c>
    </row>
    <row r="100" ht="15.75" customHeight="1" s="156">
      <c r="A100" s="199" t="n">
        <v>94</v>
      </c>
      <c r="B100" s="200" t="inlineStr">
        <is>
          <t>Support Training</t>
        </is>
      </c>
      <c r="C100" s="200" t="inlineStr">
        <is>
          <t>Knowledge reinforcement session - MTF</t>
        </is>
      </c>
      <c r="D100" s="200" t="inlineStr">
        <is>
          <t>2026-07-31</t>
        </is>
      </c>
      <c r="E100" s="200" t="inlineStr">
        <is>
          <t>—</t>
        </is>
      </c>
      <c r="F100" s="200" t="inlineStr">
        <is>
          <t>Girish A</t>
        </is>
      </c>
      <c r="G100" s="200" t="inlineStr">
        <is>
          <t>Online</t>
        </is>
      </c>
      <c r="H100" s="200" t="inlineStr">
        <is>
          <t>Knowledge reinforcement session - MTF</t>
        </is>
      </c>
      <c r="I100" s="201" t="n">
        <v>1</v>
      </c>
    </row>
    <row r="101" ht="15.75" customHeight="1" s="156">
      <c r="A101" s="199" t="n">
        <v>95</v>
      </c>
      <c r="B101" s="200" t="inlineStr">
        <is>
          <t>Other</t>
        </is>
      </c>
      <c r="C101" s="200" t="inlineStr">
        <is>
          <t>NRI session planner</t>
        </is>
      </c>
      <c r="D101" s="200" t="inlineStr">
        <is>
          <t>2026-07-16</t>
        </is>
      </c>
      <c r="E101" s="200" t="inlineStr">
        <is>
          <t>—</t>
        </is>
      </c>
      <c r="F101" s="200" t="inlineStr">
        <is>
          <t>Girish A</t>
        </is>
      </c>
      <c r="G101" s="200" t="inlineStr">
        <is>
          <t>Online</t>
        </is>
      </c>
      <c r="H101" s="200" t="inlineStr">
        <is>
          <t>NRI session planner</t>
        </is>
      </c>
      <c r="I101" s="201" t="n">
        <v>1</v>
      </c>
    </row>
    <row r="102" ht="15.75" customHeight="1" s="156">
      <c r="A102" s="199" t="n">
        <v>96</v>
      </c>
      <c r="B102" s="200" t="inlineStr">
        <is>
          <t>Other</t>
        </is>
      </c>
      <c r="C102" s="200" t="inlineStr">
        <is>
          <t>Support Session planner</t>
        </is>
      </c>
      <c r="D102" s="200" t="inlineStr">
        <is>
          <t>2026-07-22</t>
        </is>
      </c>
      <c r="E102" s="200" t="inlineStr">
        <is>
          <t>—</t>
        </is>
      </c>
      <c r="F102" s="200" t="inlineStr">
        <is>
          <t>Girish A</t>
        </is>
      </c>
      <c r="G102" s="200" t="inlineStr">
        <is>
          <t>Online</t>
        </is>
      </c>
      <c r="H102" s="200" t="inlineStr">
        <is>
          <t>Support Session planner</t>
        </is>
      </c>
      <c r="I102" s="201" t="n">
        <v>2</v>
      </c>
    </row>
    <row r="103" ht="15.75" customHeight="1" s="156">
      <c r="A103" s="199" t="n">
        <v>97</v>
      </c>
      <c r="B103" s="200" t="inlineStr">
        <is>
          <t>Support Training</t>
        </is>
      </c>
      <c r="C103" s="200" t="inlineStr">
        <is>
          <t>Knowledge reinforcement session - Short delivery</t>
        </is>
      </c>
      <c r="D103" s="200" t="inlineStr">
        <is>
          <t>2026-07-29</t>
        </is>
      </c>
      <c r="E103" s="200" t="inlineStr">
        <is>
          <t>—</t>
        </is>
      </c>
      <c r="F103" s="200" t="inlineStr">
        <is>
          <t>Girish A</t>
        </is>
      </c>
      <c r="G103" s="200" t="inlineStr">
        <is>
          <t>Online</t>
        </is>
      </c>
      <c r="H103" s="200" t="inlineStr">
        <is>
          <t>Knowledge reinforcement session - Short delivery</t>
        </is>
      </c>
      <c r="I103" s="201" t="n">
        <v>1</v>
      </c>
    </row>
    <row r="104" ht="15.75" customHeight="1" s="156">
      <c r="A104" s="199" t="n">
        <v>98</v>
      </c>
      <c r="B104" s="200" t="inlineStr">
        <is>
          <t>Other</t>
        </is>
      </c>
      <c r="C104" s="200" t="inlineStr">
        <is>
          <t>OQD</t>
        </is>
      </c>
      <c r="D104" s="200" t="inlineStr">
        <is>
          <t>2026-07-01</t>
        </is>
      </c>
      <c r="E104" s="200" t="inlineStr">
        <is>
          <t>—</t>
        </is>
      </c>
      <c r="F104" s="200" t="inlineStr">
        <is>
          <t>Girish A</t>
        </is>
      </c>
      <c r="G104" s="200" t="inlineStr">
        <is>
          <t>Online</t>
        </is>
      </c>
      <c r="H104" s="200" t="inlineStr">
        <is>
          <t>OQD</t>
        </is>
      </c>
      <c r="I104" s="201" t="n">
        <v>1</v>
      </c>
    </row>
    <row r="105" ht="15.75" customHeight="1" s="156">
      <c r="A105" s="199" t="n">
        <v>99</v>
      </c>
      <c r="B105" s="200" t="inlineStr">
        <is>
          <t>Other</t>
        </is>
      </c>
      <c r="C105" s="200" t="inlineStr">
        <is>
          <t>qod</t>
        </is>
      </c>
      <c r="D105" s="200" t="inlineStr">
        <is>
          <t>2026-07-07</t>
        </is>
      </c>
      <c r="E105" s="200" t="inlineStr">
        <is>
          <t>—</t>
        </is>
      </c>
      <c r="F105" s="200" t="inlineStr">
        <is>
          <t>Girish A</t>
        </is>
      </c>
      <c r="G105" s="200" t="inlineStr">
        <is>
          <t>Online</t>
        </is>
      </c>
      <c r="H105" s="200" t="inlineStr">
        <is>
          <t>qod</t>
        </is>
      </c>
      <c r="I105" s="201" t="n">
        <v>2</v>
      </c>
    </row>
    <row r="106" ht="15.75" customHeight="1" s="156">
      <c r="A106" s="199" t="n">
        <v>100</v>
      </c>
      <c r="B106" s="200" t="inlineStr">
        <is>
          <t>Other</t>
        </is>
      </c>
      <c r="C106" s="200" t="inlineStr">
        <is>
          <t>QOD</t>
        </is>
      </c>
      <c r="D106" s="200" t="inlineStr">
        <is>
          <t>2026-07-14</t>
        </is>
      </c>
      <c r="E106" s="200" t="inlineStr">
        <is>
          <t>—</t>
        </is>
      </c>
      <c r="F106" s="200" t="inlineStr">
        <is>
          <t>Girish A</t>
        </is>
      </c>
      <c r="G106" s="200" t="inlineStr">
        <is>
          <t>Online</t>
        </is>
      </c>
      <c r="H106" s="200" t="inlineStr">
        <is>
          <t>QOD</t>
        </is>
      </c>
      <c r="I106" s="201" t="n">
        <v>2</v>
      </c>
    </row>
    <row r="107" ht="15.75" customHeight="1" s="156">
      <c r="A107" s="199" t="n">
        <v>101</v>
      </c>
      <c r="B107" s="200" t="inlineStr">
        <is>
          <t>Other</t>
        </is>
      </c>
      <c r="C107" s="200" t="inlineStr">
        <is>
          <t>NRI session planner</t>
        </is>
      </c>
      <c r="D107" s="200" t="inlineStr">
        <is>
          <t>2026-07-14</t>
        </is>
      </c>
      <c r="E107" s="200" t="inlineStr">
        <is>
          <t>—</t>
        </is>
      </c>
      <c r="F107" s="200" t="inlineStr">
        <is>
          <t>Girish A</t>
        </is>
      </c>
      <c r="G107" s="200" t="inlineStr">
        <is>
          <t>Online</t>
        </is>
      </c>
      <c r="H107" s="200" t="inlineStr">
        <is>
          <t>NRI session planner</t>
        </is>
      </c>
      <c r="I107" s="201" t="n">
        <v>2</v>
      </c>
    </row>
    <row r="108" ht="15.75" customHeight="1" s="156">
      <c r="A108" s="205" t="inlineStr">
        <is>
          <t>TOTAL MAN HOURS THIS MONTH</t>
        </is>
      </c>
      <c r="B108" s="205" t="n"/>
      <c r="C108" s="205" t="n"/>
      <c r="D108" s="205" t="n"/>
      <c r="E108" s="205" t="n"/>
      <c r="F108" s="205" t="n"/>
      <c r="G108" s="205" t="n"/>
      <c r="H108" s="205" t="n"/>
      <c r="I108" s="206">
        <f>SUM(I7:I107)</f>
        <v/>
      </c>
    </row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08:H108"/>
    <mergeCell ref="A3:I3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0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4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2026-08-10T14:26:34Z</dcterms:created>
  <dcterms:modified xsi:type="dcterms:W3CDTF">2026-08-10T14:26:39Z</dcterms:modified>
</cp:coreProperties>
</file>